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arzo\Desktop\Eindwerk 2026\Uitgewerkte bijlagen\"/>
    </mc:Choice>
  </mc:AlternateContent>
  <xr:revisionPtr revIDLastSave="0" documentId="13_ncr:1_{500C9FB1-5B8C-4BBF-8F08-8D2F9890B0C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vername" sheetId="1" r:id="rId1"/>
    <sheet name="Au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J29" i="2"/>
  <c r="J28" i="2"/>
  <c r="J27" i="2"/>
  <c r="K28" i="2"/>
  <c r="K29" i="2"/>
  <c r="K30" i="2"/>
  <c r="K31" i="2"/>
  <c r="K27" i="2"/>
  <c r="J26" i="2"/>
  <c r="K20" i="2"/>
  <c r="L20" i="2"/>
  <c r="M20" i="2"/>
  <c r="M15" i="2"/>
  <c r="M16" i="2"/>
  <c r="M17" i="2"/>
  <c r="M18" i="2"/>
  <c r="M19" i="2"/>
  <c r="M14" i="2"/>
  <c r="N20" i="2"/>
  <c r="N19" i="2"/>
  <c r="K19" i="2"/>
  <c r="J20" i="2"/>
  <c r="J19" i="2"/>
  <c r="N18" i="2"/>
  <c r="L18" i="2"/>
  <c r="K18" i="2"/>
  <c r="J18" i="2"/>
  <c r="L17" i="2"/>
  <c r="N17" i="2"/>
  <c r="K17" i="2"/>
  <c r="J17" i="2"/>
  <c r="L16" i="2"/>
  <c r="K16" i="2"/>
  <c r="N16" i="2"/>
  <c r="J16" i="2"/>
  <c r="K15" i="2"/>
  <c r="L15" i="2"/>
  <c r="N15" i="2"/>
  <c r="J15" i="2"/>
  <c r="L14" i="2"/>
  <c r="B4" i="2"/>
  <c r="F5" i="2" s="1"/>
  <c r="B11" i="2" s="1"/>
  <c r="B10" i="2" l="1"/>
  <c r="B9" i="2"/>
  <c r="N9" i="1"/>
  <c r="P9" i="1"/>
  <c r="N5" i="1"/>
  <c r="P5" i="1" s="1"/>
  <c r="F64" i="1"/>
  <c r="O10" i="1"/>
  <c r="N6" i="1"/>
  <c r="N7" i="1" s="1"/>
  <c r="N8" i="1" s="1"/>
  <c r="P8" i="1" s="1"/>
  <c r="O7" i="1"/>
  <c r="O8" i="1"/>
  <c r="O6" i="1"/>
  <c r="M8" i="1"/>
  <c r="M9" i="1"/>
  <c r="M7" i="1"/>
  <c r="L9" i="1"/>
  <c r="L8" i="1"/>
  <c r="L7" i="1"/>
  <c r="O5" i="1"/>
  <c r="O4" i="1"/>
  <c r="M6" i="1"/>
  <c r="L6" i="1"/>
  <c r="M5" i="1"/>
  <c r="M4" i="1"/>
  <c r="N4" i="1"/>
  <c r="L5" i="1"/>
  <c r="L4" i="1"/>
  <c r="J4" i="2" l="1"/>
  <c r="N10" i="1"/>
  <c r="P10" i="1" s="1"/>
  <c r="P7" i="1"/>
  <c r="P6" i="1"/>
  <c r="P4" i="1"/>
  <c r="J46" i="2" l="1"/>
  <c r="J47" i="2" l="1"/>
  <c r="J48" i="2" l="1"/>
  <c r="J49" i="2" l="1"/>
  <c r="J50" i="2" l="1"/>
  <c r="J22" i="2" l="1"/>
  <c r="J5" i="2" l="1"/>
  <c r="E75" i="2"/>
  <c r="F75" i="2" l="1"/>
  <c r="J6" i="2"/>
</calcChain>
</file>

<file path=xl/sharedStrings.xml><?xml version="1.0" encoding="utf-8"?>
<sst xmlns="http://schemas.openxmlformats.org/spreadsheetml/2006/main" count="113" uniqueCount="102">
  <si>
    <t>Nr</t>
  </si>
  <si>
    <t>Datum</t>
  </si>
  <si>
    <t>Beginsaldo</t>
  </si>
  <si>
    <t>Kapitaal</t>
  </si>
  <si>
    <t>Interest</t>
  </si>
  <si>
    <t>Betaling</t>
  </si>
  <si>
    <t>Eindsaldo</t>
  </si>
  <si>
    <t>TOTAAL</t>
  </si>
  <si>
    <t>Intrest</t>
  </si>
  <si>
    <t>Betaald</t>
  </si>
  <si>
    <t>Totaal</t>
  </si>
  <si>
    <t>Jaar</t>
  </si>
  <si>
    <t>Afgelost</t>
  </si>
  <si>
    <t>Parameters</t>
  </si>
  <si>
    <t>Totalen (over looptijd)</t>
  </si>
  <si>
    <t>Leenbedrag</t>
  </si>
  <si>
    <t>Totale betalingen</t>
  </si>
  <si>
    <t>Jaarlijkse rente</t>
  </si>
  <si>
    <t>Aflossingberekening</t>
  </si>
  <si>
    <t>Berekening</t>
  </si>
  <si>
    <t>Totale interest</t>
  </si>
  <si>
    <t>Looptijd (jaren)</t>
  </si>
  <si>
    <t>Totale kapitaalaflossing</t>
  </si>
  <si>
    <t>Startdatum lening</t>
  </si>
  <si>
    <t>Eerste betaaldatum</t>
  </si>
  <si>
    <t>Aantal maanden</t>
  </si>
  <si>
    <t>Maandrente</t>
  </si>
  <si>
    <t>Maandelijkse betaling (annuïteit)</t>
  </si>
  <si>
    <t>Periode</t>
  </si>
  <si>
    <t>Begin saldo</t>
  </si>
  <si>
    <t>Eind saldo</t>
  </si>
  <si>
    <t>Jaarlijkse aflossing</t>
  </si>
  <si>
    <t>Jaar 1</t>
  </si>
  <si>
    <t>Jaar 2</t>
  </si>
  <si>
    <t>Jaar 3</t>
  </si>
  <si>
    <t>Jaar 4</t>
  </si>
  <si>
    <t>Jaar 5</t>
  </si>
  <si>
    <t>Lening</t>
  </si>
  <si>
    <t>Min restwaarde</t>
  </si>
  <si>
    <t>Restwaarde lening</t>
  </si>
  <si>
    <t>15/01/2026</t>
  </si>
  <si>
    <t>15/02/2026</t>
  </si>
  <si>
    <t>15/03/2026</t>
  </si>
  <si>
    <t>15/04/2026</t>
  </si>
  <si>
    <t>15/05/2026</t>
  </si>
  <si>
    <t>15/06/2026</t>
  </si>
  <si>
    <t>15/07/2026</t>
  </si>
  <si>
    <t>15/08/2026</t>
  </si>
  <si>
    <t>15/09/2026</t>
  </si>
  <si>
    <t>15/10/2026</t>
  </si>
  <si>
    <t>15/11/2026</t>
  </si>
  <si>
    <t>15/12/2026</t>
  </si>
  <si>
    <t>15/01/2027</t>
  </si>
  <si>
    <t>15/02/2027</t>
  </si>
  <si>
    <t>15/03/2027</t>
  </si>
  <si>
    <t>15/04/2027</t>
  </si>
  <si>
    <t>15/05/2027</t>
  </si>
  <si>
    <t>15/06/2027</t>
  </si>
  <si>
    <t>15/07/2027</t>
  </si>
  <si>
    <t>15/08/2027</t>
  </si>
  <si>
    <t>15/09/2027</t>
  </si>
  <si>
    <t>15/10/2027</t>
  </si>
  <si>
    <t>15/11/2027</t>
  </si>
  <si>
    <t>15/12/2027</t>
  </si>
  <si>
    <t>15/01/2028</t>
  </si>
  <si>
    <t>15/02/2028</t>
  </si>
  <si>
    <t>15/03/2028</t>
  </si>
  <si>
    <t>15/04/2028</t>
  </si>
  <si>
    <t>15/05/2028</t>
  </si>
  <si>
    <t>15/06/2028</t>
  </si>
  <si>
    <t>15/07/2028</t>
  </si>
  <si>
    <t>15/08/2028</t>
  </si>
  <si>
    <t>15/09/2028</t>
  </si>
  <si>
    <t>15/10/2028</t>
  </si>
  <si>
    <t>15/11/2028</t>
  </si>
  <si>
    <t>15/12/2028</t>
  </si>
  <si>
    <t>15/01/2029</t>
  </si>
  <si>
    <t>15/02/2029</t>
  </si>
  <si>
    <t>15/03/2029</t>
  </si>
  <si>
    <t>15/04/2029</t>
  </si>
  <si>
    <t>15/05/2029</t>
  </si>
  <si>
    <t>15/06/2029</t>
  </si>
  <si>
    <t>15/07/2029</t>
  </si>
  <si>
    <t>15/08/2029</t>
  </si>
  <si>
    <t>15/09/2029</t>
  </si>
  <si>
    <t>15/10/2029</t>
  </si>
  <si>
    <t>15/11/2029</t>
  </si>
  <si>
    <t>15/12/2029</t>
  </si>
  <si>
    <t>15/01/2030</t>
  </si>
  <si>
    <t>15/02/2030</t>
  </si>
  <si>
    <t>15/03/2030</t>
  </si>
  <si>
    <t>15/04/2030</t>
  </si>
  <si>
    <t>15/05/2030</t>
  </si>
  <si>
    <t>15/06/2030</t>
  </si>
  <si>
    <t>15/07/2030</t>
  </si>
  <si>
    <t>15/08/2030</t>
  </si>
  <si>
    <t>15/09/2030</t>
  </si>
  <si>
    <t>15/10/2030</t>
  </si>
  <si>
    <t>15/11/2030</t>
  </si>
  <si>
    <t>15/12/2030</t>
  </si>
  <si>
    <t>Min restwaarde 1% - 15%</t>
  </si>
  <si>
    <t>Eind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</si>
</sst>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€&quot;\ #,##0.00;[Red]&quot;€&quot;\ \-#,##0.00"/>
    <numFmt numFmtId="164" formatCode="yyyy\-mm\-dd"/>
    <numFmt numFmtId="165" formatCode="[$EUR ]#,##0.00_-"/>
    <numFmt numFmtId="166" formatCode="dd/mm/yyyy"/>
    <numFmt numFmtId="167" formatCode="0.000000%"/>
    <numFmt numFmtId="168" formatCode="&quot;€&quot;\ #,##0.00"/>
    <numFmt numFmtId="169" formatCode="&quot;€&quot;\ #,##0.000000"/>
    <numFmt numFmtId="170" formatCode="0.0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5597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0" fontId="4" fillId="0" borderId="0" xfId="0" applyFon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/>
    <xf numFmtId="168" fontId="0" fillId="0" borderId="0" xfId="0" applyNumberFormat="1"/>
    <xf numFmtId="169" fontId="0" fillId="0" borderId="0" xfId="0" applyNumberFormat="1"/>
    <xf numFmtId="165" fontId="1" fillId="2" borderId="0" xfId="0" applyNumberFormat="1" applyFont="1" applyFill="1"/>
    <xf numFmtId="170" fontId="0" fillId="0" borderId="0" xfId="0" applyNumberFormat="1"/>
    <xf numFmtId="0" fontId="0" fillId="0" borderId="0" xfId="0" applyAlignment="1">
      <alignment horizontal="center"/>
    </xf>
    <xf numFmtId="8" fontId="1" fillId="0" borderId="1" xfId="0" applyNumberFormat="1" applyFont="1" applyBorder="1"/>
    <xf numFmtId="166" fontId="0" fillId="0" borderId="6" xfId="0" applyNumberForma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zoomScale="124" zoomScaleNormal="124" workbookViewId="0">
      <selection activeCell="J1" sqref="J1"/>
    </sheetView>
  </sheetViews>
  <sheetFormatPr defaultRowHeight="14.4" x14ac:dyDescent="0.3"/>
  <cols>
    <col min="2" max="2" width="10.44140625" bestFit="1" customWidth="1"/>
    <col min="3" max="3" width="10.2187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6" x14ac:dyDescent="0.3">
      <c r="A2">
        <v>0</v>
      </c>
      <c r="B2" s="1">
        <v>45901</v>
      </c>
      <c r="C2">
        <v>210000</v>
      </c>
      <c r="K2" s="33" t="s">
        <v>11</v>
      </c>
      <c r="L2" s="35" t="s">
        <v>3</v>
      </c>
      <c r="M2" s="36"/>
      <c r="N2" s="29" t="s">
        <v>8</v>
      </c>
      <c r="O2" s="29"/>
      <c r="P2" s="29"/>
    </row>
    <row r="3" spans="1:16" x14ac:dyDescent="0.3">
      <c r="A3">
        <v>1</v>
      </c>
      <c r="B3" s="1">
        <v>45931</v>
      </c>
      <c r="C3">
        <v>210000</v>
      </c>
      <c r="D3">
        <v>3500</v>
      </c>
      <c r="E3">
        <v>435</v>
      </c>
      <c r="F3">
        <v>3935</v>
      </c>
      <c r="G3">
        <v>206500</v>
      </c>
      <c r="K3" s="34"/>
      <c r="L3" s="3" t="s">
        <v>12</v>
      </c>
      <c r="M3" s="3" t="s">
        <v>6</v>
      </c>
      <c r="N3" s="3" t="s">
        <v>9</v>
      </c>
      <c r="O3" s="3">
        <v>492</v>
      </c>
      <c r="P3" s="3" t="s">
        <v>10</v>
      </c>
    </row>
    <row r="4" spans="1:16" x14ac:dyDescent="0.3">
      <c r="A4">
        <v>2</v>
      </c>
      <c r="B4" s="1">
        <v>45962</v>
      </c>
      <c r="C4">
        <v>206500</v>
      </c>
      <c r="D4">
        <v>3500</v>
      </c>
      <c r="E4">
        <v>435</v>
      </c>
      <c r="F4">
        <v>3935</v>
      </c>
      <c r="G4">
        <v>203000</v>
      </c>
      <c r="K4" s="2">
        <v>2025</v>
      </c>
      <c r="L4" s="2">
        <f>SUM(D3:D5)</f>
        <v>10500</v>
      </c>
      <c r="M4" s="2">
        <f>G5</f>
        <v>199500</v>
      </c>
      <c r="N4" s="2">
        <f>SUM(E3:E5)</f>
        <v>1305</v>
      </c>
      <c r="O4" s="2">
        <f>$E$6*30/31</f>
        <v>420.96774193548384</v>
      </c>
      <c r="P4" s="2">
        <f>SUM(N4:O4)</f>
        <v>1725.9677419354839</v>
      </c>
    </row>
    <row r="5" spans="1:16" x14ac:dyDescent="0.3">
      <c r="A5">
        <v>3</v>
      </c>
      <c r="B5" s="1">
        <v>45992</v>
      </c>
      <c r="C5">
        <v>203000</v>
      </c>
      <c r="D5">
        <v>3500</v>
      </c>
      <c r="E5">
        <v>435</v>
      </c>
      <c r="F5">
        <v>3935</v>
      </c>
      <c r="G5">
        <v>199500</v>
      </c>
      <c r="K5" s="2">
        <v>2026</v>
      </c>
      <c r="L5" s="2">
        <f>SUM(D6:D17)</f>
        <v>42000</v>
      </c>
      <c r="M5" s="2">
        <f>G17</f>
        <v>157500</v>
      </c>
      <c r="N5" s="2">
        <f>SUM(E19:E29)+$E$3/31</f>
        <v>4799.0322580645161</v>
      </c>
      <c r="O5" s="2">
        <f>O4</f>
        <v>420.96774193548384</v>
      </c>
      <c r="P5" s="2">
        <f t="shared" ref="P5:P10" si="0">SUM(N5:O5)</f>
        <v>5220</v>
      </c>
    </row>
    <row r="6" spans="1:16" x14ac:dyDescent="0.3">
      <c r="A6">
        <v>4</v>
      </c>
      <c r="B6" s="1">
        <v>46023</v>
      </c>
      <c r="C6">
        <v>199500</v>
      </c>
      <c r="D6">
        <v>3500</v>
      </c>
      <c r="E6">
        <v>435</v>
      </c>
      <c r="F6">
        <v>3935</v>
      </c>
      <c r="G6">
        <v>196000</v>
      </c>
      <c r="K6" s="2">
        <v>2027</v>
      </c>
      <c r="L6" s="2">
        <f>SUM(D18:D29)</f>
        <v>42000</v>
      </c>
      <c r="M6" s="2">
        <f>G29</f>
        <v>115500</v>
      </c>
      <c r="N6" s="2">
        <f>N5</f>
        <v>4799.0322580645161</v>
      </c>
      <c r="O6" s="2">
        <f>O5</f>
        <v>420.96774193548384</v>
      </c>
      <c r="P6" s="2">
        <f t="shared" si="0"/>
        <v>5220</v>
      </c>
    </row>
    <row r="7" spans="1:16" x14ac:dyDescent="0.3">
      <c r="A7">
        <v>5</v>
      </c>
      <c r="B7" s="1">
        <v>46054</v>
      </c>
      <c r="C7">
        <v>196000</v>
      </c>
      <c r="D7">
        <v>3500</v>
      </c>
      <c r="E7">
        <v>435</v>
      </c>
      <c r="F7">
        <v>3935</v>
      </c>
      <c r="G7">
        <v>192500</v>
      </c>
      <c r="K7" s="2">
        <v>2028</v>
      </c>
      <c r="L7" s="2">
        <f>SUM(D30:D41)</f>
        <v>42000</v>
      </c>
      <c r="M7" s="2">
        <f>M6-L7</f>
        <v>73500</v>
      </c>
      <c r="N7" s="2">
        <f>N6</f>
        <v>4799.0322580645161</v>
      </c>
      <c r="O7" s="2">
        <f t="shared" ref="O7:O8" si="1">O6</f>
        <v>420.96774193548384</v>
      </c>
      <c r="P7" s="2">
        <f t="shared" si="0"/>
        <v>5220</v>
      </c>
    </row>
    <row r="8" spans="1:16" x14ac:dyDescent="0.3">
      <c r="A8">
        <v>6</v>
      </c>
      <c r="B8" s="1">
        <v>46082</v>
      </c>
      <c r="C8">
        <v>192500</v>
      </c>
      <c r="D8">
        <v>3500</v>
      </c>
      <c r="E8">
        <v>435</v>
      </c>
      <c r="F8">
        <v>3935</v>
      </c>
      <c r="G8">
        <v>189000</v>
      </c>
      <c r="K8" s="2">
        <v>2029</v>
      </c>
      <c r="L8" s="2">
        <f>SUM(D42:D53)</f>
        <v>42000</v>
      </c>
      <c r="M8" s="2">
        <f t="shared" ref="M8:M9" si="2">M7-L8</f>
        <v>31500</v>
      </c>
      <c r="N8" s="2">
        <f>N7</f>
        <v>4799.0322580645161</v>
      </c>
      <c r="O8" s="2">
        <f t="shared" si="1"/>
        <v>420.96774193548384</v>
      </c>
      <c r="P8" s="2">
        <f t="shared" si="0"/>
        <v>5220</v>
      </c>
    </row>
    <row r="9" spans="1:16" x14ac:dyDescent="0.3">
      <c r="A9">
        <v>7</v>
      </c>
      <c r="B9" s="1">
        <v>46113</v>
      </c>
      <c r="C9">
        <v>189000</v>
      </c>
      <c r="D9">
        <v>3500</v>
      </c>
      <c r="E9">
        <v>435</v>
      </c>
      <c r="F9">
        <v>3935</v>
      </c>
      <c r="G9">
        <v>185500</v>
      </c>
      <c r="K9" s="2">
        <v>2030</v>
      </c>
      <c r="L9" s="2">
        <f>SUM(D54:D62)</f>
        <v>31500</v>
      </c>
      <c r="M9" s="2">
        <f t="shared" si="2"/>
        <v>0</v>
      </c>
      <c r="N9" s="2">
        <f>E3/31+SUM(E55:E62)</f>
        <v>3494.0322580645161</v>
      </c>
      <c r="O9" s="2"/>
      <c r="P9" s="2">
        <f t="shared" si="0"/>
        <v>3494.0322580645161</v>
      </c>
    </row>
    <row r="10" spans="1:16" x14ac:dyDescent="0.3">
      <c r="A10">
        <v>8</v>
      </c>
      <c r="B10" s="1">
        <v>46143</v>
      </c>
      <c r="C10">
        <v>185500</v>
      </c>
      <c r="D10">
        <v>3500</v>
      </c>
      <c r="E10">
        <v>435</v>
      </c>
      <c r="F10">
        <v>3935</v>
      </c>
      <c r="G10">
        <v>182000</v>
      </c>
      <c r="K10" s="2"/>
      <c r="L10" s="2"/>
      <c r="M10" s="2"/>
      <c r="N10" s="2">
        <f>SUM(N4:N9)</f>
        <v>23995.16129032258</v>
      </c>
      <c r="O10" s="2">
        <f>SUM(O4:O9)</f>
        <v>2104.838709677419</v>
      </c>
      <c r="P10" s="2">
        <f t="shared" si="0"/>
        <v>26100</v>
      </c>
    </row>
    <row r="11" spans="1:16" x14ac:dyDescent="0.3">
      <c r="A11">
        <v>9</v>
      </c>
      <c r="B11" s="1">
        <v>46174</v>
      </c>
      <c r="C11">
        <v>182000</v>
      </c>
      <c r="D11">
        <v>3500</v>
      </c>
      <c r="E11">
        <v>435</v>
      </c>
      <c r="F11">
        <v>3935</v>
      </c>
      <c r="G11">
        <v>178500</v>
      </c>
    </row>
    <row r="12" spans="1:16" x14ac:dyDescent="0.3">
      <c r="A12">
        <v>10</v>
      </c>
      <c r="B12" s="1">
        <v>46204</v>
      </c>
      <c r="C12">
        <v>178500</v>
      </c>
      <c r="D12">
        <v>3500</v>
      </c>
      <c r="E12">
        <v>435</v>
      </c>
      <c r="F12">
        <v>3935</v>
      </c>
      <c r="G12">
        <v>175000</v>
      </c>
    </row>
    <row r="13" spans="1:16" x14ac:dyDescent="0.3">
      <c r="A13">
        <v>11</v>
      </c>
      <c r="B13" s="1">
        <v>46235</v>
      </c>
      <c r="C13">
        <v>175000</v>
      </c>
      <c r="D13">
        <v>3500</v>
      </c>
      <c r="E13">
        <v>435</v>
      </c>
      <c r="F13">
        <v>3935</v>
      </c>
      <c r="G13">
        <v>171500</v>
      </c>
    </row>
    <row r="14" spans="1:16" x14ac:dyDescent="0.3">
      <c r="A14">
        <v>12</v>
      </c>
      <c r="B14" s="1">
        <v>46266</v>
      </c>
      <c r="C14">
        <v>171500</v>
      </c>
      <c r="D14">
        <v>3500</v>
      </c>
      <c r="E14">
        <v>435</v>
      </c>
      <c r="F14">
        <v>3935</v>
      </c>
      <c r="G14">
        <v>168000</v>
      </c>
    </row>
    <row r="15" spans="1:16" x14ac:dyDescent="0.3">
      <c r="A15">
        <v>13</v>
      </c>
      <c r="B15" s="1">
        <v>46296</v>
      </c>
      <c r="C15">
        <v>168000</v>
      </c>
      <c r="D15">
        <v>3500</v>
      </c>
      <c r="E15">
        <v>435</v>
      </c>
      <c r="F15">
        <v>3935</v>
      </c>
      <c r="G15">
        <v>164500</v>
      </c>
    </row>
    <row r="16" spans="1:16" x14ac:dyDescent="0.3">
      <c r="A16">
        <v>14</v>
      </c>
      <c r="B16" s="1">
        <v>46327</v>
      </c>
      <c r="C16">
        <v>164500</v>
      </c>
      <c r="D16">
        <v>3500</v>
      </c>
      <c r="E16">
        <v>435</v>
      </c>
      <c r="F16">
        <v>3935</v>
      </c>
      <c r="G16">
        <v>161000</v>
      </c>
    </row>
    <row r="17" spans="1:7" x14ac:dyDescent="0.3">
      <c r="A17">
        <v>15</v>
      </c>
      <c r="B17" s="1">
        <v>46357</v>
      </c>
      <c r="C17">
        <v>161000</v>
      </c>
      <c r="D17">
        <v>3500</v>
      </c>
      <c r="E17">
        <v>435</v>
      </c>
      <c r="F17">
        <v>3935</v>
      </c>
      <c r="G17">
        <v>157500</v>
      </c>
    </row>
    <row r="18" spans="1:7" x14ac:dyDescent="0.3">
      <c r="A18">
        <v>16</v>
      </c>
      <c r="B18" s="1">
        <v>46388</v>
      </c>
      <c r="C18">
        <v>157500</v>
      </c>
      <c r="D18">
        <v>3500</v>
      </c>
      <c r="E18">
        <v>435</v>
      </c>
      <c r="F18">
        <v>3935</v>
      </c>
      <c r="G18">
        <v>154000</v>
      </c>
    </row>
    <row r="19" spans="1:7" x14ac:dyDescent="0.3">
      <c r="A19">
        <v>17</v>
      </c>
      <c r="B19" s="1">
        <v>46419</v>
      </c>
      <c r="C19">
        <v>154000</v>
      </c>
      <c r="D19">
        <v>3500</v>
      </c>
      <c r="E19">
        <v>435</v>
      </c>
      <c r="F19">
        <v>3935</v>
      </c>
      <c r="G19">
        <v>150500</v>
      </c>
    </row>
    <row r="20" spans="1:7" x14ac:dyDescent="0.3">
      <c r="A20">
        <v>18</v>
      </c>
      <c r="B20" s="1">
        <v>46447</v>
      </c>
      <c r="C20">
        <v>150500</v>
      </c>
      <c r="D20">
        <v>3500</v>
      </c>
      <c r="E20">
        <v>435</v>
      </c>
      <c r="F20">
        <v>3935</v>
      </c>
      <c r="G20">
        <v>147000</v>
      </c>
    </row>
    <row r="21" spans="1:7" x14ac:dyDescent="0.3">
      <c r="A21">
        <v>19</v>
      </c>
      <c r="B21" s="1">
        <v>46478</v>
      </c>
      <c r="C21">
        <v>147000</v>
      </c>
      <c r="D21">
        <v>3500</v>
      </c>
      <c r="E21">
        <v>435</v>
      </c>
      <c r="F21">
        <v>3935</v>
      </c>
      <c r="G21">
        <v>143500</v>
      </c>
    </row>
    <row r="22" spans="1:7" x14ac:dyDescent="0.3">
      <c r="A22">
        <v>20</v>
      </c>
      <c r="B22" s="1">
        <v>46508</v>
      </c>
      <c r="C22">
        <v>143500</v>
      </c>
      <c r="D22">
        <v>3500</v>
      </c>
      <c r="E22">
        <v>435</v>
      </c>
      <c r="F22">
        <v>3935</v>
      </c>
      <c r="G22">
        <v>140000</v>
      </c>
    </row>
    <row r="23" spans="1:7" x14ac:dyDescent="0.3">
      <c r="A23">
        <v>21</v>
      </c>
      <c r="B23" s="1">
        <v>46539</v>
      </c>
      <c r="C23">
        <v>140000</v>
      </c>
      <c r="D23">
        <v>3500</v>
      </c>
      <c r="E23">
        <v>435</v>
      </c>
      <c r="F23">
        <v>3935</v>
      </c>
      <c r="G23">
        <v>136500</v>
      </c>
    </row>
    <row r="24" spans="1:7" x14ac:dyDescent="0.3">
      <c r="A24">
        <v>22</v>
      </c>
      <c r="B24" s="1">
        <v>46569</v>
      </c>
      <c r="C24">
        <v>136500</v>
      </c>
      <c r="D24">
        <v>3500</v>
      </c>
      <c r="E24">
        <v>435</v>
      </c>
      <c r="F24">
        <v>3935</v>
      </c>
      <c r="G24">
        <v>133000</v>
      </c>
    </row>
    <row r="25" spans="1:7" x14ac:dyDescent="0.3">
      <c r="A25">
        <v>23</v>
      </c>
      <c r="B25" s="1">
        <v>46600</v>
      </c>
      <c r="C25">
        <v>133000</v>
      </c>
      <c r="D25">
        <v>3500</v>
      </c>
      <c r="E25">
        <v>435</v>
      </c>
      <c r="F25">
        <v>3935</v>
      </c>
      <c r="G25">
        <v>129500</v>
      </c>
    </row>
    <row r="26" spans="1:7" x14ac:dyDescent="0.3">
      <c r="A26">
        <v>24</v>
      </c>
      <c r="B26" s="1">
        <v>46631</v>
      </c>
      <c r="C26">
        <v>129500</v>
      </c>
      <c r="D26">
        <v>3500</v>
      </c>
      <c r="E26">
        <v>435</v>
      </c>
      <c r="F26">
        <v>3935</v>
      </c>
      <c r="G26">
        <v>126000</v>
      </c>
    </row>
    <row r="27" spans="1:7" x14ac:dyDescent="0.3">
      <c r="A27">
        <v>25</v>
      </c>
      <c r="B27" s="1">
        <v>46661</v>
      </c>
      <c r="C27">
        <v>126000</v>
      </c>
      <c r="D27">
        <v>3500</v>
      </c>
      <c r="E27">
        <v>435</v>
      </c>
      <c r="F27">
        <v>3935</v>
      </c>
      <c r="G27">
        <v>122500</v>
      </c>
    </row>
    <row r="28" spans="1:7" x14ac:dyDescent="0.3">
      <c r="A28">
        <v>26</v>
      </c>
      <c r="B28" s="1">
        <v>46692</v>
      </c>
      <c r="C28">
        <v>122500</v>
      </c>
      <c r="D28">
        <v>3500</v>
      </c>
      <c r="E28">
        <v>435</v>
      </c>
      <c r="F28">
        <v>3935</v>
      </c>
      <c r="G28">
        <v>119000</v>
      </c>
    </row>
    <row r="29" spans="1:7" x14ac:dyDescent="0.3">
      <c r="A29">
        <v>27</v>
      </c>
      <c r="B29" s="1">
        <v>46722</v>
      </c>
      <c r="C29">
        <v>119000</v>
      </c>
      <c r="D29">
        <v>3500</v>
      </c>
      <c r="E29">
        <v>435</v>
      </c>
      <c r="F29">
        <v>3935</v>
      </c>
      <c r="G29">
        <v>115500</v>
      </c>
    </row>
    <row r="30" spans="1:7" x14ac:dyDescent="0.3">
      <c r="A30">
        <v>28</v>
      </c>
      <c r="B30" s="1">
        <v>46753</v>
      </c>
      <c r="C30">
        <v>115500</v>
      </c>
      <c r="D30">
        <v>3500</v>
      </c>
      <c r="E30">
        <v>435</v>
      </c>
      <c r="F30">
        <v>3935</v>
      </c>
      <c r="G30">
        <v>112000</v>
      </c>
    </row>
    <row r="31" spans="1:7" x14ac:dyDescent="0.3">
      <c r="A31">
        <v>29</v>
      </c>
      <c r="B31" s="1">
        <v>46784</v>
      </c>
      <c r="C31">
        <v>112000</v>
      </c>
      <c r="D31">
        <v>3500</v>
      </c>
      <c r="E31">
        <v>435</v>
      </c>
      <c r="F31">
        <v>3935</v>
      </c>
      <c r="G31">
        <v>108500</v>
      </c>
    </row>
    <row r="32" spans="1:7" x14ac:dyDescent="0.3">
      <c r="A32">
        <v>30</v>
      </c>
      <c r="B32" s="1">
        <v>46813</v>
      </c>
      <c r="C32">
        <v>108500</v>
      </c>
      <c r="D32">
        <v>3500</v>
      </c>
      <c r="E32">
        <v>435</v>
      </c>
      <c r="F32">
        <v>3935</v>
      </c>
      <c r="G32">
        <v>105000</v>
      </c>
    </row>
    <row r="33" spans="1:7" x14ac:dyDescent="0.3">
      <c r="A33">
        <v>31</v>
      </c>
      <c r="B33" s="1">
        <v>46844</v>
      </c>
      <c r="C33">
        <v>105000</v>
      </c>
      <c r="D33">
        <v>3500</v>
      </c>
      <c r="E33">
        <v>435</v>
      </c>
      <c r="F33">
        <v>3935</v>
      </c>
      <c r="G33">
        <v>101500</v>
      </c>
    </row>
    <row r="34" spans="1:7" x14ac:dyDescent="0.3">
      <c r="A34">
        <v>32</v>
      </c>
      <c r="B34" s="1">
        <v>46874</v>
      </c>
      <c r="C34">
        <v>101500</v>
      </c>
      <c r="D34">
        <v>3500</v>
      </c>
      <c r="E34">
        <v>435</v>
      </c>
      <c r="F34">
        <v>3935</v>
      </c>
      <c r="G34">
        <v>98000</v>
      </c>
    </row>
    <row r="35" spans="1:7" x14ac:dyDescent="0.3">
      <c r="A35">
        <v>33</v>
      </c>
      <c r="B35" s="1">
        <v>46905</v>
      </c>
      <c r="C35">
        <v>98000</v>
      </c>
      <c r="D35">
        <v>3500</v>
      </c>
      <c r="E35">
        <v>435</v>
      </c>
      <c r="F35">
        <v>3935</v>
      </c>
      <c r="G35">
        <v>94500</v>
      </c>
    </row>
    <row r="36" spans="1:7" x14ac:dyDescent="0.3">
      <c r="A36">
        <v>34</v>
      </c>
      <c r="B36" s="1">
        <v>46935</v>
      </c>
      <c r="C36">
        <v>94500</v>
      </c>
      <c r="D36">
        <v>3500</v>
      </c>
      <c r="E36">
        <v>435</v>
      </c>
      <c r="F36">
        <v>3935</v>
      </c>
      <c r="G36">
        <v>91000</v>
      </c>
    </row>
    <row r="37" spans="1:7" x14ac:dyDescent="0.3">
      <c r="A37">
        <v>35</v>
      </c>
      <c r="B37" s="1">
        <v>46966</v>
      </c>
      <c r="C37">
        <v>91000</v>
      </c>
      <c r="D37">
        <v>3500</v>
      </c>
      <c r="E37">
        <v>435</v>
      </c>
      <c r="F37">
        <v>3935</v>
      </c>
      <c r="G37">
        <v>87500</v>
      </c>
    </row>
    <row r="38" spans="1:7" x14ac:dyDescent="0.3">
      <c r="A38">
        <v>36</v>
      </c>
      <c r="B38" s="1">
        <v>46997</v>
      </c>
      <c r="C38">
        <v>87500</v>
      </c>
      <c r="D38">
        <v>3500</v>
      </c>
      <c r="E38">
        <v>435</v>
      </c>
      <c r="F38">
        <v>3935</v>
      </c>
      <c r="G38">
        <v>84000</v>
      </c>
    </row>
    <row r="39" spans="1:7" x14ac:dyDescent="0.3">
      <c r="A39">
        <v>37</v>
      </c>
      <c r="B39" s="1">
        <v>47027</v>
      </c>
      <c r="C39">
        <v>84000</v>
      </c>
      <c r="D39">
        <v>3500</v>
      </c>
      <c r="E39">
        <v>435</v>
      </c>
      <c r="F39">
        <v>3935</v>
      </c>
      <c r="G39">
        <v>80500</v>
      </c>
    </row>
    <row r="40" spans="1:7" x14ac:dyDescent="0.3">
      <c r="A40">
        <v>38</v>
      </c>
      <c r="B40" s="1">
        <v>47058</v>
      </c>
      <c r="C40">
        <v>80500</v>
      </c>
      <c r="D40">
        <v>3500</v>
      </c>
      <c r="E40">
        <v>435</v>
      </c>
      <c r="F40">
        <v>3935</v>
      </c>
      <c r="G40">
        <v>77000</v>
      </c>
    </row>
    <row r="41" spans="1:7" x14ac:dyDescent="0.3">
      <c r="A41">
        <v>39</v>
      </c>
      <c r="B41" s="1">
        <v>47088</v>
      </c>
      <c r="C41">
        <v>77000</v>
      </c>
      <c r="D41">
        <v>3500</v>
      </c>
      <c r="E41">
        <v>435</v>
      </c>
      <c r="F41">
        <v>3935</v>
      </c>
      <c r="G41">
        <v>73500</v>
      </c>
    </row>
    <row r="42" spans="1:7" x14ac:dyDescent="0.3">
      <c r="A42">
        <v>40</v>
      </c>
      <c r="B42" s="1">
        <v>47119</v>
      </c>
      <c r="C42">
        <v>73500</v>
      </c>
      <c r="D42">
        <v>3500</v>
      </c>
      <c r="E42">
        <v>435</v>
      </c>
      <c r="F42">
        <v>3935</v>
      </c>
      <c r="G42">
        <v>70000</v>
      </c>
    </row>
    <row r="43" spans="1:7" x14ac:dyDescent="0.3">
      <c r="A43">
        <v>41</v>
      </c>
      <c r="B43" s="1">
        <v>47150</v>
      </c>
      <c r="C43">
        <v>70000</v>
      </c>
      <c r="D43">
        <v>3500</v>
      </c>
      <c r="E43">
        <v>435</v>
      </c>
      <c r="F43">
        <v>3935</v>
      </c>
      <c r="G43">
        <v>66500</v>
      </c>
    </row>
    <row r="44" spans="1:7" x14ac:dyDescent="0.3">
      <c r="A44">
        <v>42</v>
      </c>
      <c r="B44" s="1">
        <v>47178</v>
      </c>
      <c r="C44">
        <v>66500</v>
      </c>
      <c r="D44">
        <v>3500</v>
      </c>
      <c r="E44">
        <v>435</v>
      </c>
      <c r="F44">
        <v>3935</v>
      </c>
      <c r="G44">
        <v>63000</v>
      </c>
    </row>
    <row r="45" spans="1:7" x14ac:dyDescent="0.3">
      <c r="A45">
        <v>43</v>
      </c>
      <c r="B45" s="1">
        <v>47209</v>
      </c>
      <c r="C45">
        <v>63000</v>
      </c>
      <c r="D45">
        <v>3500</v>
      </c>
      <c r="E45">
        <v>435</v>
      </c>
      <c r="F45">
        <v>3935</v>
      </c>
      <c r="G45">
        <v>59500</v>
      </c>
    </row>
    <row r="46" spans="1:7" x14ac:dyDescent="0.3">
      <c r="A46">
        <v>44</v>
      </c>
      <c r="B46" s="1">
        <v>47239</v>
      </c>
      <c r="C46">
        <v>59500</v>
      </c>
      <c r="D46">
        <v>3500</v>
      </c>
      <c r="E46">
        <v>435</v>
      </c>
      <c r="F46">
        <v>3935</v>
      </c>
      <c r="G46">
        <v>56000</v>
      </c>
    </row>
    <row r="47" spans="1:7" x14ac:dyDescent="0.3">
      <c r="A47">
        <v>45</v>
      </c>
      <c r="B47" s="1">
        <v>47270</v>
      </c>
      <c r="C47">
        <v>56000</v>
      </c>
      <c r="D47">
        <v>3500</v>
      </c>
      <c r="E47">
        <v>435</v>
      </c>
      <c r="F47">
        <v>3935</v>
      </c>
      <c r="G47">
        <v>52500</v>
      </c>
    </row>
    <row r="48" spans="1:7" x14ac:dyDescent="0.3">
      <c r="A48">
        <v>46</v>
      </c>
      <c r="B48" s="1">
        <v>47300</v>
      </c>
      <c r="C48">
        <v>52500</v>
      </c>
      <c r="D48">
        <v>3500</v>
      </c>
      <c r="E48">
        <v>435</v>
      </c>
      <c r="F48">
        <v>3935</v>
      </c>
      <c r="G48">
        <v>49000</v>
      </c>
    </row>
    <row r="49" spans="1:7" x14ac:dyDescent="0.3">
      <c r="A49">
        <v>47</v>
      </c>
      <c r="B49" s="1">
        <v>47331</v>
      </c>
      <c r="C49">
        <v>49000</v>
      </c>
      <c r="D49">
        <v>3500</v>
      </c>
      <c r="E49">
        <v>435</v>
      </c>
      <c r="F49">
        <v>3935</v>
      </c>
      <c r="G49">
        <v>45500</v>
      </c>
    </row>
    <row r="50" spans="1:7" x14ac:dyDescent="0.3">
      <c r="A50">
        <v>48</v>
      </c>
      <c r="B50" s="1">
        <v>47362</v>
      </c>
      <c r="C50">
        <v>45500</v>
      </c>
      <c r="D50">
        <v>3500</v>
      </c>
      <c r="E50">
        <v>435</v>
      </c>
      <c r="F50">
        <v>3935</v>
      </c>
      <c r="G50">
        <v>42000</v>
      </c>
    </row>
    <row r="51" spans="1:7" x14ac:dyDescent="0.3">
      <c r="A51">
        <v>49</v>
      </c>
      <c r="B51" s="1">
        <v>47392</v>
      </c>
      <c r="C51">
        <v>42000</v>
      </c>
      <c r="D51">
        <v>3500</v>
      </c>
      <c r="E51">
        <v>435</v>
      </c>
      <c r="F51">
        <v>3935</v>
      </c>
      <c r="G51">
        <v>38500</v>
      </c>
    </row>
    <row r="52" spans="1:7" x14ac:dyDescent="0.3">
      <c r="A52">
        <v>50</v>
      </c>
      <c r="B52" s="1">
        <v>47423</v>
      </c>
      <c r="C52">
        <v>38500</v>
      </c>
      <c r="D52">
        <v>3500</v>
      </c>
      <c r="E52">
        <v>435</v>
      </c>
      <c r="F52">
        <v>3935</v>
      </c>
      <c r="G52">
        <v>35000</v>
      </c>
    </row>
    <row r="53" spans="1:7" x14ac:dyDescent="0.3">
      <c r="A53">
        <v>51</v>
      </c>
      <c r="B53" s="1">
        <v>47453</v>
      </c>
      <c r="C53">
        <v>35000</v>
      </c>
      <c r="D53">
        <v>3500</v>
      </c>
      <c r="E53">
        <v>435</v>
      </c>
      <c r="F53">
        <v>3935</v>
      </c>
      <c r="G53">
        <v>31500</v>
      </c>
    </row>
    <row r="54" spans="1:7" x14ac:dyDescent="0.3">
      <c r="A54">
        <v>52</v>
      </c>
      <c r="B54" s="1">
        <v>47484</v>
      </c>
      <c r="C54">
        <v>31500</v>
      </c>
      <c r="D54">
        <v>3500</v>
      </c>
      <c r="E54">
        <v>435</v>
      </c>
      <c r="F54">
        <v>3935</v>
      </c>
      <c r="G54">
        <v>28000</v>
      </c>
    </row>
    <row r="55" spans="1:7" x14ac:dyDescent="0.3">
      <c r="A55">
        <v>53</v>
      </c>
      <c r="B55" s="1">
        <v>47515</v>
      </c>
      <c r="C55">
        <v>28000</v>
      </c>
      <c r="D55">
        <v>3500</v>
      </c>
      <c r="E55">
        <v>435</v>
      </c>
      <c r="F55">
        <v>3935</v>
      </c>
      <c r="G55">
        <v>24500</v>
      </c>
    </row>
    <row r="56" spans="1:7" x14ac:dyDescent="0.3">
      <c r="A56">
        <v>54</v>
      </c>
      <c r="B56" s="1">
        <v>47543</v>
      </c>
      <c r="C56">
        <v>24500</v>
      </c>
      <c r="D56">
        <v>3500</v>
      </c>
      <c r="E56">
        <v>435</v>
      </c>
      <c r="F56">
        <v>3935</v>
      </c>
      <c r="G56">
        <v>21000</v>
      </c>
    </row>
    <row r="57" spans="1:7" x14ac:dyDescent="0.3">
      <c r="A57">
        <v>55</v>
      </c>
      <c r="B57" s="1">
        <v>47574</v>
      </c>
      <c r="C57">
        <v>21000</v>
      </c>
      <c r="D57">
        <v>3500</v>
      </c>
      <c r="E57">
        <v>435</v>
      </c>
      <c r="F57">
        <v>3935</v>
      </c>
      <c r="G57">
        <v>17500</v>
      </c>
    </row>
    <row r="58" spans="1:7" x14ac:dyDescent="0.3">
      <c r="A58">
        <v>56</v>
      </c>
      <c r="B58" s="1">
        <v>47604</v>
      </c>
      <c r="C58">
        <v>17500</v>
      </c>
      <c r="D58">
        <v>3500</v>
      </c>
      <c r="E58">
        <v>435</v>
      </c>
      <c r="F58">
        <v>3935</v>
      </c>
      <c r="G58">
        <v>14000</v>
      </c>
    </row>
    <row r="59" spans="1:7" x14ac:dyDescent="0.3">
      <c r="A59">
        <v>57</v>
      </c>
      <c r="B59" s="1">
        <v>47635</v>
      </c>
      <c r="C59">
        <v>14000</v>
      </c>
      <c r="D59">
        <v>3500</v>
      </c>
      <c r="E59">
        <v>435</v>
      </c>
      <c r="F59">
        <v>3935</v>
      </c>
      <c r="G59">
        <v>10500</v>
      </c>
    </row>
    <row r="60" spans="1:7" x14ac:dyDescent="0.3">
      <c r="A60">
        <v>58</v>
      </c>
      <c r="B60" s="1">
        <v>47665</v>
      </c>
      <c r="C60">
        <v>10500</v>
      </c>
      <c r="D60">
        <v>3500</v>
      </c>
      <c r="E60">
        <v>435</v>
      </c>
      <c r="F60">
        <v>3935</v>
      </c>
      <c r="G60">
        <v>7000</v>
      </c>
    </row>
    <row r="61" spans="1:7" x14ac:dyDescent="0.3">
      <c r="A61">
        <v>59</v>
      </c>
      <c r="B61" s="1">
        <v>47696</v>
      </c>
      <c r="C61">
        <v>7000</v>
      </c>
      <c r="D61">
        <v>3500</v>
      </c>
      <c r="E61">
        <v>435</v>
      </c>
      <c r="F61">
        <v>3935</v>
      </c>
      <c r="G61">
        <v>3500</v>
      </c>
    </row>
    <row r="62" spans="1:7" x14ac:dyDescent="0.3">
      <c r="A62">
        <v>60</v>
      </c>
      <c r="B62" s="1">
        <v>47727</v>
      </c>
      <c r="C62">
        <v>3500</v>
      </c>
      <c r="D62">
        <v>3500</v>
      </c>
      <c r="E62">
        <v>435</v>
      </c>
      <c r="F62">
        <v>3935</v>
      </c>
      <c r="G62">
        <v>0</v>
      </c>
    </row>
    <row r="63" spans="1:7" x14ac:dyDescent="0.3">
      <c r="B63" t="s">
        <v>7</v>
      </c>
      <c r="D63">
        <v>210000</v>
      </c>
      <c r="E63">
        <v>26100</v>
      </c>
      <c r="F63">
        <v>236100</v>
      </c>
    </row>
    <row r="64" spans="1:7" x14ac:dyDescent="0.3">
      <c r="F64" s="5">
        <f>F63-D63</f>
        <v>26100</v>
      </c>
    </row>
  </sheetData>
  <mergeCells count="3">
    <mergeCell ref="N2:P2"/>
    <mergeCell ref="K2:K3"/>
    <mergeCell ref="L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6D08-9FB9-44A6-BBB4-37839509816E}">
  <dimension ref="A1:N75"/>
  <sheetViews>
    <sheetView tabSelected="1" topLeftCell="B1" zoomScale="118" zoomScaleNormal="118" workbookViewId="0">
      <pane ySplit="13" topLeftCell="A23" activePane="bottomLeft" state="frozen"/>
      <selection pane="bottomLeft" activeCell="E10" sqref="E10"/>
    </sheetView>
  </sheetViews>
  <sheetFormatPr defaultRowHeight="14.4" x14ac:dyDescent="0.3"/>
  <cols>
    <col min="1" max="1" width="21.109375" customWidth="1"/>
    <col min="2" max="2" width="14" customWidth="1"/>
    <col min="3" max="3" width="16" customWidth="1"/>
    <col min="4" max="5" width="14" customWidth="1"/>
    <col min="6" max="6" width="14.77734375" bestFit="1" customWidth="1"/>
    <col min="7" max="7" width="16" customWidth="1"/>
    <col min="9" max="9" width="22.33203125" bestFit="1" customWidth="1"/>
    <col min="10" max="10" width="14.6640625" bestFit="1" customWidth="1"/>
    <col min="11" max="11" width="13.6640625" bestFit="1" customWidth="1"/>
    <col min="12" max="12" width="14.6640625" bestFit="1" customWidth="1"/>
    <col min="13" max="14" width="13.88671875" bestFit="1" customWidth="1"/>
  </cols>
  <sheetData>
    <row r="1" spans="1:14" ht="18" x14ac:dyDescent="0.35">
      <c r="A1" s="6" t="s">
        <v>13</v>
      </c>
    </row>
    <row r="3" spans="1:14" ht="15.6" x14ac:dyDescent="0.3">
      <c r="A3" s="8" t="s">
        <v>15</v>
      </c>
      <c r="B3" s="9">
        <v>74500</v>
      </c>
      <c r="I3" s="7" t="s">
        <v>14</v>
      </c>
    </row>
    <row r="4" spans="1:14" x14ac:dyDescent="0.3">
      <c r="A4" s="4" t="s">
        <v>39</v>
      </c>
      <c r="B4" s="9">
        <f>7000</f>
        <v>7000</v>
      </c>
      <c r="C4" t="s">
        <v>100</v>
      </c>
      <c r="E4" s="29" t="s">
        <v>18</v>
      </c>
      <c r="F4" s="29"/>
      <c r="I4" s="10" t="s">
        <v>16</v>
      </c>
      <c r="J4" s="9">
        <f>SUM($D$15:$D$74)</f>
        <v>78000</v>
      </c>
    </row>
    <row r="5" spans="1:14" x14ac:dyDescent="0.3">
      <c r="A5" s="8" t="s">
        <v>17</v>
      </c>
      <c r="B5" s="20">
        <v>4.9189999999999998E-2</v>
      </c>
      <c r="E5" s="3" t="s">
        <v>19</v>
      </c>
      <c r="F5" s="22">
        <f>PMT(B5/12, 60,- B3,B4)</f>
        <v>1299.9990537742178</v>
      </c>
      <c r="I5" s="10" t="s">
        <v>20</v>
      </c>
      <c r="J5" s="9">
        <f>SUM($E$15:$E$74)</f>
        <v>10499.940000000002</v>
      </c>
    </row>
    <row r="6" spans="1:14" x14ac:dyDescent="0.3">
      <c r="A6" s="8" t="s">
        <v>21</v>
      </c>
      <c r="B6" s="11">
        <v>5</v>
      </c>
      <c r="D6" s="4"/>
      <c r="E6" s="4"/>
      <c r="F6" s="4"/>
      <c r="I6" s="10" t="s">
        <v>22</v>
      </c>
      <c r="J6" s="9">
        <f>SUM($F$15:$F$74)</f>
        <v>67500</v>
      </c>
    </row>
    <row r="7" spans="1:14" x14ac:dyDescent="0.3">
      <c r="A7" s="8" t="s">
        <v>23</v>
      </c>
      <c r="B7" s="12">
        <v>46006</v>
      </c>
    </row>
    <row r="8" spans="1:14" x14ac:dyDescent="0.3">
      <c r="A8" s="8" t="s">
        <v>24</v>
      </c>
      <c r="B8" s="12">
        <v>46037</v>
      </c>
      <c r="J8" t="s">
        <v>38</v>
      </c>
    </row>
    <row r="9" spans="1:14" x14ac:dyDescent="0.3">
      <c r="A9" s="8" t="s">
        <v>25</v>
      </c>
      <c r="B9" s="11">
        <f>B6*12</f>
        <v>60</v>
      </c>
    </row>
    <row r="10" spans="1:14" x14ac:dyDescent="0.3">
      <c r="A10" s="8" t="s">
        <v>26</v>
      </c>
      <c r="B10" s="13">
        <f>B5/12</f>
        <v>4.0991666666666668E-3</v>
      </c>
    </row>
    <row r="11" spans="1:14" x14ac:dyDescent="0.3">
      <c r="A11" s="8" t="s">
        <v>27</v>
      </c>
      <c r="B11" s="22">
        <f>F5</f>
        <v>1299.9990537742178</v>
      </c>
    </row>
    <row r="12" spans="1:14" x14ac:dyDescent="0.3">
      <c r="K12" s="30" t="s">
        <v>8</v>
      </c>
      <c r="L12" s="31"/>
      <c r="M12" s="32"/>
      <c r="N12" s="14" t="s">
        <v>3</v>
      </c>
    </row>
    <row r="13" spans="1:14" x14ac:dyDescent="0.3">
      <c r="A13" s="14" t="s">
        <v>28</v>
      </c>
      <c r="B13" s="14" t="s">
        <v>1</v>
      </c>
      <c r="C13" s="14" t="s">
        <v>29</v>
      </c>
      <c r="D13" s="14" t="s">
        <v>5</v>
      </c>
      <c r="E13" s="14" t="s">
        <v>8</v>
      </c>
      <c r="F13" s="14" t="s">
        <v>3</v>
      </c>
      <c r="G13" s="14" t="s">
        <v>30</v>
      </c>
      <c r="I13" t="s">
        <v>31</v>
      </c>
      <c r="J13" s="14" t="s">
        <v>5</v>
      </c>
      <c r="K13" s="24" t="s">
        <v>9</v>
      </c>
      <c r="L13" s="24">
        <v>492</v>
      </c>
      <c r="M13" s="24" t="s">
        <v>10</v>
      </c>
    </row>
    <row r="14" spans="1:14" x14ac:dyDescent="0.3">
      <c r="A14" s="15">
        <v>0</v>
      </c>
      <c r="B14" s="23">
        <v>46006</v>
      </c>
      <c r="C14" s="21">
        <v>74500</v>
      </c>
      <c r="D14" s="16"/>
      <c r="E14" s="16"/>
      <c r="F14" s="16"/>
      <c r="G14" s="16"/>
      <c r="I14">
        <v>2025</v>
      </c>
      <c r="J14" s="9"/>
      <c r="K14" s="9">
        <v>0</v>
      </c>
      <c r="L14" s="9">
        <f>E15*16/31</f>
        <v>157.62064516129033</v>
      </c>
      <c r="M14" s="9">
        <f>SUM(K14:L14)</f>
        <v>157.62064516129033</v>
      </c>
      <c r="N14">
        <v>0</v>
      </c>
    </row>
    <row r="15" spans="1:14" x14ac:dyDescent="0.3">
      <c r="A15" s="21">
        <v>1</v>
      </c>
      <c r="B15" s="25" t="s">
        <v>40</v>
      </c>
      <c r="C15" s="25">
        <v>74500</v>
      </c>
      <c r="D15" s="5">
        <v>1300</v>
      </c>
      <c r="E15" s="5">
        <v>305.39</v>
      </c>
      <c r="F15" s="5">
        <v>994.61</v>
      </c>
      <c r="G15" s="5">
        <v>73505.39</v>
      </c>
      <c r="I15">
        <v>2026</v>
      </c>
      <c r="J15" s="9">
        <f>SUM(D15:D26)</f>
        <v>15600</v>
      </c>
      <c r="K15" s="9">
        <f>SUM(E16:E26)+E15*15/31</f>
        <v>3234.2493548387101</v>
      </c>
      <c r="L15" s="9">
        <f>E27*16/31</f>
        <v>131.78838709677419</v>
      </c>
      <c r="M15" s="9">
        <f t="shared" ref="M15:M19" si="0">SUM(K15:L15)</f>
        <v>3366.0377419354845</v>
      </c>
      <c r="N15">
        <f>SUM(F15:F26)</f>
        <v>12208.119999999999</v>
      </c>
    </row>
    <row r="16" spans="1:14" x14ac:dyDescent="0.3">
      <c r="A16" s="21">
        <v>2</v>
      </c>
      <c r="B16" s="25" t="s">
        <v>41</v>
      </c>
      <c r="C16" s="25">
        <v>73505.39</v>
      </c>
      <c r="D16" s="5">
        <v>1300</v>
      </c>
      <c r="E16" s="5">
        <v>301.31</v>
      </c>
      <c r="F16" s="5">
        <v>998.69</v>
      </c>
      <c r="G16" s="5">
        <v>72506.7</v>
      </c>
      <c r="I16">
        <v>2027</v>
      </c>
      <c r="J16" s="9">
        <f>SUM(D27:D38)</f>
        <v>15600</v>
      </c>
      <c r="K16" s="9">
        <f>SUM(E28:E38)+E27*15/31</f>
        <v>2645.8216129032253</v>
      </c>
      <c r="L16" s="9">
        <f>E39*16/31</f>
        <v>104.66064516129032</v>
      </c>
      <c r="M16" s="9">
        <f t="shared" si="0"/>
        <v>2750.4822580645155</v>
      </c>
      <c r="N16">
        <f>SUM(F27:F38)</f>
        <v>12822.38</v>
      </c>
    </row>
    <row r="17" spans="1:14" x14ac:dyDescent="0.3">
      <c r="A17" s="21">
        <v>3</v>
      </c>
      <c r="B17" s="25" t="s">
        <v>42</v>
      </c>
      <c r="C17" s="25">
        <v>72506.7</v>
      </c>
      <c r="D17" s="5">
        <v>1300</v>
      </c>
      <c r="E17" s="5">
        <v>297.22000000000003</v>
      </c>
      <c r="F17" s="5">
        <v>1002.78</v>
      </c>
      <c r="G17" s="5">
        <v>71503.92</v>
      </c>
      <c r="I17">
        <v>2028</v>
      </c>
      <c r="J17" s="9">
        <f>SUM(D39:D50)</f>
        <v>15600</v>
      </c>
      <c r="K17" s="9">
        <f>SUM(E40:E50)+E39*15/31</f>
        <v>2027.7993548387099</v>
      </c>
      <c r="L17" s="9">
        <f>E51*16/31</f>
        <v>76.170322580645163</v>
      </c>
      <c r="M17" s="9">
        <f t="shared" si="0"/>
        <v>2103.9696774193549</v>
      </c>
      <c r="N17">
        <f>SUM(F39:F50)</f>
        <v>13467.53</v>
      </c>
    </row>
    <row r="18" spans="1:14" x14ac:dyDescent="0.3">
      <c r="A18" s="21">
        <v>4</v>
      </c>
      <c r="B18" s="25" t="s">
        <v>43</v>
      </c>
      <c r="C18" s="25">
        <v>71503.92</v>
      </c>
      <c r="D18" s="5">
        <v>1300</v>
      </c>
      <c r="E18" s="5">
        <v>293.11</v>
      </c>
      <c r="F18" s="5">
        <v>1006.89</v>
      </c>
      <c r="G18" s="5">
        <v>70497.03</v>
      </c>
      <c r="I18">
        <v>2029</v>
      </c>
      <c r="J18" s="9">
        <f>SUM(D51:D62)</f>
        <v>15600</v>
      </c>
      <c r="K18" s="9">
        <f>SUM(E52:E62)+E51*15/31</f>
        <v>1378.6896774193551</v>
      </c>
      <c r="L18" s="9">
        <f>E63*16/31</f>
        <v>46.24</v>
      </c>
      <c r="M18" s="9">
        <f t="shared" si="0"/>
        <v>1424.9296774193551</v>
      </c>
      <c r="N18">
        <f>SUM(F51:F62)</f>
        <v>14145.129999999997</v>
      </c>
    </row>
    <row r="19" spans="1:14" x14ac:dyDescent="0.3">
      <c r="A19" s="21">
        <v>5</v>
      </c>
      <c r="B19" s="25" t="s">
        <v>44</v>
      </c>
      <c r="C19" s="25">
        <v>70497.03</v>
      </c>
      <c r="D19" s="5">
        <v>1300</v>
      </c>
      <c r="E19" s="5">
        <v>288.98</v>
      </c>
      <c r="F19" s="5">
        <v>1011.02</v>
      </c>
      <c r="G19" s="5">
        <v>69486.009999999995</v>
      </c>
      <c r="I19">
        <v>2030</v>
      </c>
      <c r="J19" s="9">
        <f>SUM(D63:D74)</f>
        <v>15600</v>
      </c>
      <c r="K19" s="9">
        <f>SUM(E64:E74)+E63*15/31</f>
        <v>696.9</v>
      </c>
      <c r="L19" s="9"/>
      <c r="M19" s="9">
        <f t="shared" si="0"/>
        <v>696.9</v>
      </c>
      <c r="N19">
        <f>SUM(F63:F74)</f>
        <v>14856.84</v>
      </c>
    </row>
    <row r="20" spans="1:14" x14ac:dyDescent="0.3">
      <c r="A20" s="21">
        <v>6</v>
      </c>
      <c r="B20" s="25" t="s">
        <v>45</v>
      </c>
      <c r="C20" s="25">
        <v>69486.009999999995</v>
      </c>
      <c r="D20" s="5">
        <v>1300</v>
      </c>
      <c r="E20" s="5">
        <v>284.83</v>
      </c>
      <c r="F20" s="5">
        <v>1015.16</v>
      </c>
      <c r="G20" s="5">
        <v>68470.84</v>
      </c>
      <c r="J20" s="9">
        <f>SUM(J15:J19)</f>
        <v>78000</v>
      </c>
      <c r="K20" s="9">
        <f>SUM(K14:K19)</f>
        <v>9983.4600000000009</v>
      </c>
      <c r="L20" s="9">
        <f>SUM(L14:L19)</f>
        <v>516.4799999999999</v>
      </c>
      <c r="M20" s="9">
        <f>SUM(M14:M19)</f>
        <v>10499.94</v>
      </c>
      <c r="N20" s="9">
        <f>SUM(N15:N19)</f>
        <v>67500</v>
      </c>
    </row>
    <row r="21" spans="1:14" x14ac:dyDescent="0.3">
      <c r="A21" s="21">
        <v>7</v>
      </c>
      <c r="B21" s="25" t="s">
        <v>46</v>
      </c>
      <c r="C21" s="25">
        <v>68470.84</v>
      </c>
      <c r="D21" s="5">
        <v>1300</v>
      </c>
      <c r="E21" s="5">
        <v>280.67</v>
      </c>
      <c r="F21" s="5">
        <v>1019.33</v>
      </c>
      <c r="G21" s="5">
        <v>67451.520000000004</v>
      </c>
      <c r="J21" s="9"/>
      <c r="K21" s="9"/>
      <c r="L21" s="9"/>
      <c r="M21" s="9"/>
    </row>
    <row r="22" spans="1:14" x14ac:dyDescent="0.3">
      <c r="A22" s="21">
        <v>8</v>
      </c>
      <c r="B22" s="25" t="s">
        <v>47</v>
      </c>
      <c r="C22" s="25">
        <v>67451.520000000004</v>
      </c>
      <c r="D22" s="5">
        <v>1300</v>
      </c>
      <c r="E22" s="5">
        <v>276.5</v>
      </c>
      <c r="F22" s="5">
        <v>1023.5</v>
      </c>
      <c r="G22" s="5">
        <v>66428.009999999995</v>
      </c>
      <c r="I22" t="s">
        <v>37</v>
      </c>
      <c r="J22" s="17">
        <f>J21-K21</f>
        <v>0</v>
      </c>
      <c r="M22" s="17"/>
    </row>
    <row r="23" spans="1:14" x14ac:dyDescent="0.3">
      <c r="A23" s="21">
        <v>9</v>
      </c>
      <c r="B23" s="25" t="s">
        <v>48</v>
      </c>
      <c r="C23" s="25">
        <v>66428.009999999995</v>
      </c>
      <c r="D23" s="5">
        <v>1300</v>
      </c>
      <c r="E23" s="5">
        <v>272.3</v>
      </c>
      <c r="F23" s="5">
        <v>1027.7</v>
      </c>
      <c r="G23" s="5">
        <v>65400.31</v>
      </c>
    </row>
    <row r="24" spans="1:14" x14ac:dyDescent="0.3">
      <c r="A24" s="21">
        <v>10</v>
      </c>
      <c r="B24" s="25" t="s">
        <v>49</v>
      </c>
      <c r="C24" s="25">
        <v>65400.31</v>
      </c>
      <c r="D24" s="5">
        <v>1300</v>
      </c>
      <c r="E24" s="5">
        <v>268.08999999999997</v>
      </c>
      <c r="F24" s="5">
        <v>1031.9100000000001</v>
      </c>
      <c r="G24" s="5">
        <v>64368.4</v>
      </c>
      <c r="J24" s="18"/>
    </row>
    <row r="25" spans="1:14" x14ac:dyDescent="0.3">
      <c r="A25" s="21">
        <v>11</v>
      </c>
      <c r="B25" s="25" t="s">
        <v>50</v>
      </c>
      <c r="C25" s="25">
        <v>64368.4</v>
      </c>
      <c r="D25" s="5">
        <v>1300</v>
      </c>
      <c r="E25" s="5">
        <v>263.86</v>
      </c>
      <c r="F25" s="5">
        <v>1036.1400000000001</v>
      </c>
      <c r="G25" s="5">
        <v>63332.26</v>
      </c>
      <c r="I25" t="s">
        <v>101</v>
      </c>
      <c r="J25">
        <v>172000</v>
      </c>
      <c r="K25">
        <v>42200</v>
      </c>
    </row>
    <row r="26" spans="1:14" x14ac:dyDescent="0.3">
      <c r="A26" s="21">
        <v>12</v>
      </c>
      <c r="B26" s="25" t="s">
        <v>51</v>
      </c>
      <c r="C26" s="25">
        <v>63332.26</v>
      </c>
      <c r="D26" s="5">
        <v>1300</v>
      </c>
      <c r="E26" s="5">
        <v>259.61</v>
      </c>
      <c r="F26" s="5">
        <v>1040.3900000000001</v>
      </c>
      <c r="G26" s="5">
        <v>62291.87</v>
      </c>
      <c r="I26" s="28">
        <v>46006</v>
      </c>
      <c r="J26" s="9">
        <f>B3</f>
        <v>74500</v>
      </c>
    </row>
    <row r="27" spans="1:14" x14ac:dyDescent="0.3">
      <c r="A27" s="21">
        <v>13</v>
      </c>
      <c r="B27" s="26" t="s">
        <v>52</v>
      </c>
      <c r="C27" s="26">
        <v>62291.87</v>
      </c>
      <c r="D27" s="27">
        <v>1300</v>
      </c>
      <c r="E27" s="27">
        <v>255.34</v>
      </c>
      <c r="F27" s="27">
        <v>1044.6500000000001</v>
      </c>
      <c r="G27" s="27">
        <v>61247.21</v>
      </c>
      <c r="I27">
        <v>2025</v>
      </c>
      <c r="J27" s="17">
        <f>J26-K27</f>
        <v>62291.880000000005</v>
      </c>
      <c r="K27">
        <f>N15</f>
        <v>12208.119999999999</v>
      </c>
    </row>
    <row r="28" spans="1:14" x14ac:dyDescent="0.3">
      <c r="A28" s="21">
        <v>14</v>
      </c>
      <c r="B28" s="26" t="s">
        <v>53</v>
      </c>
      <c r="C28" s="26">
        <v>61247.21</v>
      </c>
      <c r="D28" s="27">
        <v>1300</v>
      </c>
      <c r="E28" s="27">
        <v>251.06</v>
      </c>
      <c r="F28" s="27">
        <v>1048.94</v>
      </c>
      <c r="G28" s="27">
        <v>60198.28</v>
      </c>
      <c r="I28">
        <v>2026</v>
      </c>
      <c r="J28" s="17">
        <f>J27-K28</f>
        <v>49469.500000000007</v>
      </c>
      <c r="K28">
        <f t="shared" ref="K28:K31" si="1">N16</f>
        <v>12822.38</v>
      </c>
    </row>
    <row r="29" spans="1:14" x14ac:dyDescent="0.3">
      <c r="A29" s="21">
        <v>15</v>
      </c>
      <c r="B29" s="26" t="s">
        <v>54</v>
      </c>
      <c r="C29" s="26">
        <v>60198.28</v>
      </c>
      <c r="D29" s="27">
        <v>1300</v>
      </c>
      <c r="E29" s="27">
        <v>246.76</v>
      </c>
      <c r="F29" s="27">
        <v>1053.24</v>
      </c>
      <c r="G29" s="27">
        <v>59145.04</v>
      </c>
      <c r="I29">
        <v>2027</v>
      </c>
      <c r="J29" s="17">
        <f>J28-K29</f>
        <v>36001.970000000008</v>
      </c>
      <c r="K29">
        <f t="shared" si="1"/>
        <v>13467.53</v>
      </c>
    </row>
    <row r="30" spans="1:14" x14ac:dyDescent="0.3">
      <c r="A30" s="21">
        <v>16</v>
      </c>
      <c r="B30" s="26" t="s">
        <v>55</v>
      </c>
      <c r="C30" s="26">
        <v>59145.04</v>
      </c>
      <c r="D30" s="27">
        <v>1300</v>
      </c>
      <c r="E30" s="27">
        <v>242.45</v>
      </c>
      <c r="F30" s="27">
        <v>1057.55</v>
      </c>
      <c r="G30" s="27">
        <v>58087.49</v>
      </c>
      <c r="I30">
        <v>2028</v>
      </c>
      <c r="J30" s="17">
        <f>J29-K30</f>
        <v>21856.840000000011</v>
      </c>
      <c r="K30">
        <f t="shared" si="1"/>
        <v>14145.129999999997</v>
      </c>
    </row>
    <row r="31" spans="1:14" x14ac:dyDescent="0.3">
      <c r="A31" s="21">
        <v>17</v>
      </c>
      <c r="B31" s="26" t="s">
        <v>56</v>
      </c>
      <c r="C31" s="26">
        <v>58087.49</v>
      </c>
      <c r="D31" s="27">
        <v>1300</v>
      </c>
      <c r="E31" s="27">
        <v>238.11</v>
      </c>
      <c r="F31" s="27">
        <v>1061.8900000000001</v>
      </c>
      <c r="G31" s="27">
        <v>57025.599999999999</v>
      </c>
      <c r="I31">
        <v>2029</v>
      </c>
      <c r="J31" s="17">
        <f>J30-K31</f>
        <v>7000.0000000000109</v>
      </c>
      <c r="K31">
        <f t="shared" si="1"/>
        <v>14856.84</v>
      </c>
    </row>
    <row r="32" spans="1:14" x14ac:dyDescent="0.3">
      <c r="A32" s="21">
        <v>18</v>
      </c>
      <c r="B32" s="26" t="s">
        <v>57</v>
      </c>
      <c r="C32" s="26">
        <v>57025.599999999999</v>
      </c>
      <c r="D32" s="27">
        <v>1300</v>
      </c>
      <c r="E32" s="27">
        <v>233.76</v>
      </c>
      <c r="F32" s="27">
        <v>1066.24</v>
      </c>
      <c r="G32" s="27">
        <v>55959.360000000001</v>
      </c>
      <c r="I32">
        <v>2030</v>
      </c>
      <c r="K32" s="9">
        <v>7000</v>
      </c>
    </row>
    <row r="33" spans="1:10" x14ac:dyDescent="0.3">
      <c r="A33" s="21">
        <v>19</v>
      </c>
      <c r="B33" s="26" t="s">
        <v>58</v>
      </c>
      <c r="C33" s="26">
        <v>55959.360000000001</v>
      </c>
      <c r="D33" s="27">
        <v>1300</v>
      </c>
      <c r="E33" s="27">
        <v>229.39</v>
      </c>
      <c r="F33" s="27">
        <v>1070.6099999999999</v>
      </c>
      <c r="G33" s="27">
        <v>54888.74</v>
      </c>
    </row>
    <row r="34" spans="1:10" x14ac:dyDescent="0.3">
      <c r="A34" s="21">
        <v>20</v>
      </c>
      <c r="B34" s="26" t="s">
        <v>59</v>
      </c>
      <c r="C34" s="26">
        <v>54888.74</v>
      </c>
      <c r="D34" s="27">
        <v>1300</v>
      </c>
      <c r="E34" s="27">
        <v>225</v>
      </c>
      <c r="F34" s="27">
        <v>1075</v>
      </c>
      <c r="G34" s="27">
        <v>53813.74</v>
      </c>
    </row>
    <row r="35" spans="1:10" x14ac:dyDescent="0.3">
      <c r="A35" s="21">
        <v>21</v>
      </c>
      <c r="B35" s="26" t="s">
        <v>60</v>
      </c>
      <c r="C35" s="26">
        <v>53813.74</v>
      </c>
      <c r="D35" s="27">
        <v>1300</v>
      </c>
      <c r="E35" s="27">
        <v>220.59</v>
      </c>
      <c r="F35" s="27">
        <v>1079.4100000000001</v>
      </c>
      <c r="G35" s="27">
        <v>52734.34</v>
      </c>
    </row>
    <row r="36" spans="1:10" x14ac:dyDescent="0.3">
      <c r="A36" s="21">
        <v>22</v>
      </c>
      <c r="B36" s="26" t="s">
        <v>61</v>
      </c>
      <c r="C36" s="26">
        <v>52734.34</v>
      </c>
      <c r="D36" s="27">
        <v>1300</v>
      </c>
      <c r="E36" s="27">
        <v>216.17</v>
      </c>
      <c r="F36" s="27">
        <v>1083.83</v>
      </c>
      <c r="G36" s="27">
        <v>51650.5</v>
      </c>
    </row>
    <row r="37" spans="1:10" x14ac:dyDescent="0.3">
      <c r="A37" s="21">
        <v>23</v>
      </c>
      <c r="B37" s="26" t="s">
        <v>62</v>
      </c>
      <c r="C37" s="26">
        <v>51650.5</v>
      </c>
      <c r="D37" s="27">
        <v>1300</v>
      </c>
      <c r="E37" s="27">
        <v>211.72</v>
      </c>
      <c r="F37" s="27">
        <v>1088.28</v>
      </c>
      <c r="G37" s="27">
        <v>50562.23</v>
      </c>
    </row>
    <row r="38" spans="1:10" x14ac:dyDescent="0.3">
      <c r="A38" s="21">
        <v>24</v>
      </c>
      <c r="B38" s="26" t="s">
        <v>63</v>
      </c>
      <c r="C38" s="26">
        <v>50562.23</v>
      </c>
      <c r="D38" s="27">
        <v>1300</v>
      </c>
      <c r="E38" s="27">
        <v>207.26</v>
      </c>
      <c r="F38" s="27">
        <v>1092.74</v>
      </c>
      <c r="G38" s="27">
        <v>49469.49</v>
      </c>
    </row>
    <row r="39" spans="1:10" x14ac:dyDescent="0.3">
      <c r="A39" s="21">
        <v>25</v>
      </c>
      <c r="B39" s="25" t="s">
        <v>64</v>
      </c>
      <c r="C39" s="25">
        <v>49469.49</v>
      </c>
      <c r="D39" s="5">
        <v>1300</v>
      </c>
      <c r="E39" s="5">
        <v>202.78</v>
      </c>
      <c r="F39" s="5">
        <v>1097.22</v>
      </c>
      <c r="G39" s="5">
        <v>48372.28</v>
      </c>
    </row>
    <row r="40" spans="1:10" x14ac:dyDescent="0.3">
      <c r="A40" s="21">
        <v>26</v>
      </c>
      <c r="B40" s="25" t="s">
        <v>65</v>
      </c>
      <c r="C40" s="25">
        <v>48372.28</v>
      </c>
      <c r="D40" s="5">
        <v>1300</v>
      </c>
      <c r="E40" s="5">
        <v>198.29</v>
      </c>
      <c r="F40" s="5">
        <v>1101.71</v>
      </c>
      <c r="G40" s="5">
        <v>47270.559999999998</v>
      </c>
    </row>
    <row r="41" spans="1:10" x14ac:dyDescent="0.3">
      <c r="A41" s="21">
        <v>27</v>
      </c>
      <c r="B41" s="25" t="s">
        <v>66</v>
      </c>
      <c r="C41" s="25">
        <v>47270.559999999998</v>
      </c>
      <c r="D41" s="5">
        <v>1300</v>
      </c>
      <c r="E41" s="5">
        <v>193.77</v>
      </c>
      <c r="F41" s="5">
        <v>1106.23</v>
      </c>
      <c r="G41" s="5">
        <v>46164.34</v>
      </c>
    </row>
    <row r="42" spans="1:10" x14ac:dyDescent="0.3">
      <c r="A42" s="21">
        <v>28</v>
      </c>
      <c r="B42" s="25" t="s">
        <v>67</v>
      </c>
      <c r="C42" s="25">
        <v>46164.34</v>
      </c>
      <c r="D42" s="5">
        <v>1300</v>
      </c>
      <c r="E42" s="5">
        <v>189.24</v>
      </c>
      <c r="F42" s="5">
        <v>1110.76</v>
      </c>
      <c r="G42" s="5">
        <v>45053.57</v>
      </c>
    </row>
    <row r="43" spans="1:10" x14ac:dyDescent="0.3">
      <c r="A43" s="21">
        <v>29</v>
      </c>
      <c r="B43" s="25" t="s">
        <v>68</v>
      </c>
      <c r="C43" s="25">
        <v>45053.57</v>
      </c>
      <c r="D43" s="5">
        <v>1300</v>
      </c>
      <c r="E43" s="5">
        <v>184.68</v>
      </c>
      <c r="F43" s="5">
        <v>1115.32</v>
      </c>
      <c r="G43" s="5">
        <v>43938.25</v>
      </c>
    </row>
    <row r="44" spans="1:10" x14ac:dyDescent="0.3">
      <c r="A44" s="21">
        <v>30</v>
      </c>
      <c r="B44" s="25" t="s">
        <v>69</v>
      </c>
      <c r="C44" s="25">
        <v>43938.25</v>
      </c>
      <c r="D44" s="5">
        <v>1300</v>
      </c>
      <c r="E44" s="5">
        <v>180.11</v>
      </c>
      <c r="F44" s="5">
        <v>1119.8900000000001</v>
      </c>
      <c r="G44" s="5">
        <v>42818.37</v>
      </c>
    </row>
    <row r="45" spans="1:10" x14ac:dyDescent="0.3">
      <c r="A45" s="21">
        <v>31</v>
      </c>
      <c r="B45" s="25" t="s">
        <v>70</v>
      </c>
      <c r="C45" s="25">
        <v>42818.37</v>
      </c>
      <c r="D45" s="5">
        <v>1300</v>
      </c>
      <c r="E45" s="5">
        <v>175.52</v>
      </c>
      <c r="F45" s="5">
        <v>1124.48</v>
      </c>
      <c r="G45" s="5">
        <v>41693.89</v>
      </c>
      <c r="J45">
        <v>492</v>
      </c>
    </row>
    <row r="46" spans="1:10" x14ac:dyDescent="0.3">
      <c r="A46" s="21">
        <v>32</v>
      </c>
      <c r="B46" s="25" t="s">
        <v>71</v>
      </c>
      <c r="C46" s="25">
        <v>41693.89</v>
      </c>
      <c r="D46" s="5">
        <v>1300</v>
      </c>
      <c r="E46" s="5">
        <v>170.91</v>
      </c>
      <c r="F46" s="5">
        <v>1129.0899999999999</v>
      </c>
      <c r="G46" s="5">
        <v>40564.800000000003</v>
      </c>
      <c r="I46" t="s">
        <v>32</v>
      </c>
      <c r="J46" s="17">
        <f>E26*30/31</f>
        <v>251.23548387096776</v>
      </c>
    </row>
    <row r="47" spans="1:10" x14ac:dyDescent="0.3">
      <c r="A47" s="21">
        <v>33</v>
      </c>
      <c r="B47" s="25" t="s">
        <v>72</v>
      </c>
      <c r="C47" s="25">
        <v>40564.800000000003</v>
      </c>
      <c r="D47" s="5">
        <v>1300</v>
      </c>
      <c r="E47" s="5">
        <v>166.28</v>
      </c>
      <c r="F47" s="5">
        <v>1133.72</v>
      </c>
      <c r="G47" s="5">
        <v>39431.08</v>
      </c>
      <c r="I47" t="s">
        <v>33</v>
      </c>
      <c r="J47" s="17">
        <f>E38*30/31</f>
        <v>200.57419354838709</v>
      </c>
    </row>
    <row r="48" spans="1:10" x14ac:dyDescent="0.3">
      <c r="A48" s="21">
        <v>34</v>
      </c>
      <c r="B48" s="25" t="s">
        <v>73</v>
      </c>
      <c r="C48" s="25">
        <v>39431.08</v>
      </c>
      <c r="D48" s="5">
        <v>1300</v>
      </c>
      <c r="E48" s="5">
        <v>161.63</v>
      </c>
      <c r="F48" s="5">
        <v>1138.3599999999999</v>
      </c>
      <c r="G48" s="5">
        <v>38292.720000000001</v>
      </c>
      <c r="I48" t="s">
        <v>34</v>
      </c>
      <c r="J48" s="17">
        <f>E50*30/31</f>
        <v>147.36774193548385</v>
      </c>
    </row>
    <row r="49" spans="1:10" x14ac:dyDescent="0.3">
      <c r="A49" s="21">
        <v>35</v>
      </c>
      <c r="B49" s="25" t="s">
        <v>74</v>
      </c>
      <c r="C49" s="25">
        <v>38292.720000000001</v>
      </c>
      <c r="D49" s="5">
        <v>1300</v>
      </c>
      <c r="E49" s="5">
        <v>156.97</v>
      </c>
      <c r="F49" s="5">
        <v>1143.03</v>
      </c>
      <c r="G49" s="5">
        <v>37149.69</v>
      </c>
      <c r="I49" t="s">
        <v>35</v>
      </c>
      <c r="J49" s="17">
        <f>E62*30/31</f>
        <v>91.49032258064517</v>
      </c>
    </row>
    <row r="50" spans="1:10" x14ac:dyDescent="0.3">
      <c r="A50" s="21">
        <v>36</v>
      </c>
      <c r="B50" s="25" t="s">
        <v>75</v>
      </c>
      <c r="C50" s="25">
        <v>37149.69</v>
      </c>
      <c r="D50" s="5">
        <v>1300</v>
      </c>
      <c r="E50" s="5">
        <v>152.28</v>
      </c>
      <c r="F50" s="5">
        <v>1147.72</v>
      </c>
      <c r="G50" s="5">
        <v>36001.97</v>
      </c>
      <c r="I50" t="s">
        <v>36</v>
      </c>
      <c r="J50" s="17">
        <f>E74*30/31</f>
        <v>32.78709677419355</v>
      </c>
    </row>
    <row r="51" spans="1:10" x14ac:dyDescent="0.3">
      <c r="A51" s="21">
        <v>37</v>
      </c>
      <c r="B51" s="26" t="s">
        <v>76</v>
      </c>
      <c r="C51" s="26">
        <v>36001.97</v>
      </c>
      <c r="D51" s="27">
        <v>1300</v>
      </c>
      <c r="E51" s="27">
        <v>147.58000000000001</v>
      </c>
      <c r="F51" s="27">
        <v>1152.42</v>
      </c>
      <c r="G51" s="27">
        <v>34849.550000000003</v>
      </c>
    </row>
    <row r="52" spans="1:10" x14ac:dyDescent="0.3">
      <c r="A52" s="21">
        <v>38</v>
      </c>
      <c r="B52" s="26" t="s">
        <v>77</v>
      </c>
      <c r="C52" s="26">
        <v>34849.550000000003</v>
      </c>
      <c r="D52" s="27">
        <v>1300</v>
      </c>
      <c r="E52" s="27">
        <v>142.85</v>
      </c>
      <c r="F52" s="27">
        <v>1157.1400000000001</v>
      </c>
      <c r="G52" s="27">
        <v>33692.400000000001</v>
      </c>
    </row>
    <row r="53" spans="1:10" x14ac:dyDescent="0.3">
      <c r="A53" s="21">
        <v>39</v>
      </c>
      <c r="B53" s="26" t="s">
        <v>78</v>
      </c>
      <c r="C53" s="26">
        <v>33692.400000000001</v>
      </c>
      <c r="D53" s="27">
        <v>1300</v>
      </c>
      <c r="E53" s="27">
        <v>138.11000000000001</v>
      </c>
      <c r="F53" s="27">
        <v>1161.8900000000001</v>
      </c>
      <c r="G53" s="27">
        <v>32530.51</v>
      </c>
    </row>
    <row r="54" spans="1:10" x14ac:dyDescent="0.3">
      <c r="A54" s="21">
        <v>40</v>
      </c>
      <c r="B54" s="26" t="s">
        <v>79</v>
      </c>
      <c r="C54" s="26">
        <v>32530.51</v>
      </c>
      <c r="D54" s="27">
        <v>1300</v>
      </c>
      <c r="E54" s="27">
        <v>133.35</v>
      </c>
      <c r="F54" s="27">
        <v>1166.6500000000001</v>
      </c>
      <c r="G54" s="27">
        <v>31363.86</v>
      </c>
    </row>
    <row r="55" spans="1:10" x14ac:dyDescent="0.3">
      <c r="A55" s="21">
        <v>41</v>
      </c>
      <c r="B55" s="26" t="s">
        <v>80</v>
      </c>
      <c r="C55" s="26">
        <v>31363.86</v>
      </c>
      <c r="D55" s="27">
        <v>1300</v>
      </c>
      <c r="E55" s="27">
        <v>128.57</v>
      </c>
      <c r="F55" s="27">
        <v>1171.43</v>
      </c>
      <c r="G55" s="27">
        <v>30192.43</v>
      </c>
    </row>
    <row r="56" spans="1:10" x14ac:dyDescent="0.3">
      <c r="A56" s="21">
        <v>42</v>
      </c>
      <c r="B56" s="26" t="s">
        <v>81</v>
      </c>
      <c r="C56" s="26">
        <v>30192.43</v>
      </c>
      <c r="D56" s="27">
        <v>1300</v>
      </c>
      <c r="E56" s="27">
        <v>123.76</v>
      </c>
      <c r="F56" s="27">
        <v>1176.24</v>
      </c>
      <c r="G56" s="27">
        <v>29016.2</v>
      </c>
    </row>
    <row r="57" spans="1:10" x14ac:dyDescent="0.3">
      <c r="A57" s="21">
        <v>43</v>
      </c>
      <c r="B57" s="26" t="s">
        <v>82</v>
      </c>
      <c r="C57" s="26">
        <v>29016.2</v>
      </c>
      <c r="D57" s="27">
        <v>1300</v>
      </c>
      <c r="E57" s="27">
        <v>118.94</v>
      </c>
      <c r="F57" s="27">
        <v>1181.06</v>
      </c>
      <c r="G57" s="27">
        <v>27835.14</v>
      </c>
    </row>
    <row r="58" spans="1:10" x14ac:dyDescent="0.3">
      <c r="A58" s="21">
        <v>44</v>
      </c>
      <c r="B58" s="26" t="s">
        <v>83</v>
      </c>
      <c r="C58" s="26">
        <v>27835.14</v>
      </c>
      <c r="D58" s="27">
        <v>1300</v>
      </c>
      <c r="E58" s="27">
        <v>114.1</v>
      </c>
      <c r="F58" s="27">
        <v>1185.9000000000001</v>
      </c>
      <c r="G58" s="27">
        <v>26649.24</v>
      </c>
    </row>
    <row r="59" spans="1:10" x14ac:dyDescent="0.3">
      <c r="A59" s="21">
        <v>45</v>
      </c>
      <c r="B59" s="26" t="s">
        <v>84</v>
      </c>
      <c r="C59" s="26">
        <v>26649.24</v>
      </c>
      <c r="D59" s="27">
        <v>1300</v>
      </c>
      <c r="E59" s="27">
        <v>109.24</v>
      </c>
      <c r="F59" s="27">
        <v>1190.76</v>
      </c>
      <c r="G59" s="27">
        <v>25458.48</v>
      </c>
    </row>
    <row r="60" spans="1:10" x14ac:dyDescent="0.3">
      <c r="A60" s="21">
        <v>46</v>
      </c>
      <c r="B60" s="26" t="s">
        <v>85</v>
      </c>
      <c r="C60" s="26">
        <v>25458.48</v>
      </c>
      <c r="D60" s="27">
        <v>1300</v>
      </c>
      <c r="E60" s="27">
        <v>104.36</v>
      </c>
      <c r="F60" s="27">
        <v>1195.6400000000001</v>
      </c>
      <c r="G60" s="27">
        <v>24262.84</v>
      </c>
    </row>
    <row r="61" spans="1:10" x14ac:dyDescent="0.3">
      <c r="A61" s="21">
        <v>47</v>
      </c>
      <c r="B61" s="26" t="s">
        <v>86</v>
      </c>
      <c r="C61" s="26">
        <v>24262.84</v>
      </c>
      <c r="D61" s="27">
        <v>1300</v>
      </c>
      <c r="E61" s="27">
        <v>99.46</v>
      </c>
      <c r="F61" s="27">
        <v>1200.54</v>
      </c>
      <c r="G61" s="27">
        <v>23062.3</v>
      </c>
    </row>
    <row r="62" spans="1:10" x14ac:dyDescent="0.3">
      <c r="A62" s="21">
        <v>48</v>
      </c>
      <c r="B62" s="26" t="s">
        <v>87</v>
      </c>
      <c r="C62" s="26">
        <v>23062.3</v>
      </c>
      <c r="D62" s="27">
        <v>1300</v>
      </c>
      <c r="E62" s="27">
        <v>94.54</v>
      </c>
      <c r="F62" s="27">
        <v>1205.46</v>
      </c>
      <c r="G62" s="27">
        <v>21856.84</v>
      </c>
    </row>
    <row r="63" spans="1:10" x14ac:dyDescent="0.3">
      <c r="A63" s="21">
        <v>49</v>
      </c>
      <c r="B63" s="25" t="s">
        <v>88</v>
      </c>
      <c r="C63" s="25">
        <v>21856.84</v>
      </c>
      <c r="D63" s="5">
        <v>1300</v>
      </c>
      <c r="E63" s="5">
        <v>89.59</v>
      </c>
      <c r="F63" s="5">
        <v>1210.4000000000001</v>
      </c>
      <c r="G63" s="5">
        <v>20646.43</v>
      </c>
    </row>
    <row r="64" spans="1:10" x14ac:dyDescent="0.3">
      <c r="A64" s="21">
        <v>50</v>
      </c>
      <c r="B64" s="25" t="s">
        <v>89</v>
      </c>
      <c r="C64" s="25">
        <v>20646.43</v>
      </c>
      <c r="D64" s="5">
        <v>1300</v>
      </c>
      <c r="E64" s="5">
        <v>84.63</v>
      </c>
      <c r="F64" s="5">
        <v>1215.3699999999999</v>
      </c>
      <c r="G64" s="5">
        <v>19431.07</v>
      </c>
    </row>
    <row r="65" spans="1:7" x14ac:dyDescent="0.3">
      <c r="A65" s="21">
        <v>51</v>
      </c>
      <c r="B65" s="25" t="s">
        <v>90</v>
      </c>
      <c r="C65" s="25">
        <v>19431.07</v>
      </c>
      <c r="D65" s="5">
        <v>1300</v>
      </c>
      <c r="E65" s="5">
        <v>79.650000000000006</v>
      </c>
      <c r="F65" s="5">
        <v>1220.3499999999999</v>
      </c>
      <c r="G65" s="5">
        <v>18210.72</v>
      </c>
    </row>
    <row r="66" spans="1:7" x14ac:dyDescent="0.3">
      <c r="A66" s="21">
        <v>52</v>
      </c>
      <c r="B66" s="25" t="s">
        <v>91</v>
      </c>
      <c r="C66" s="25">
        <v>18210.72</v>
      </c>
      <c r="D66" s="5">
        <v>1300</v>
      </c>
      <c r="E66" s="5">
        <v>74.650000000000006</v>
      </c>
      <c r="F66" s="5">
        <v>1225.3499999999999</v>
      </c>
      <c r="G66" s="5">
        <v>16985.37</v>
      </c>
    </row>
    <row r="67" spans="1:7" x14ac:dyDescent="0.3">
      <c r="A67" s="21">
        <v>53</v>
      </c>
      <c r="B67" s="25" t="s">
        <v>92</v>
      </c>
      <c r="C67" s="25">
        <v>16985.37</v>
      </c>
      <c r="D67" s="5">
        <v>1300</v>
      </c>
      <c r="E67" s="5">
        <v>69.63</v>
      </c>
      <c r="F67" s="5">
        <v>1230.3699999999999</v>
      </c>
      <c r="G67" s="5">
        <v>15754.99</v>
      </c>
    </row>
    <row r="68" spans="1:7" x14ac:dyDescent="0.3">
      <c r="A68" s="21">
        <v>54</v>
      </c>
      <c r="B68" s="25" t="s">
        <v>93</v>
      </c>
      <c r="C68" s="25">
        <v>15754.99</v>
      </c>
      <c r="D68" s="5">
        <v>1300</v>
      </c>
      <c r="E68" s="5">
        <v>64.58</v>
      </c>
      <c r="F68" s="5">
        <v>1235.42</v>
      </c>
      <c r="G68" s="5">
        <v>14519.58</v>
      </c>
    </row>
    <row r="69" spans="1:7" x14ac:dyDescent="0.3">
      <c r="A69" s="21">
        <v>55</v>
      </c>
      <c r="B69" s="25" t="s">
        <v>94</v>
      </c>
      <c r="C69" s="25">
        <v>14519.58</v>
      </c>
      <c r="D69" s="5">
        <v>1300</v>
      </c>
      <c r="E69" s="5">
        <v>59.52</v>
      </c>
      <c r="F69" s="5">
        <v>1240.48</v>
      </c>
      <c r="G69" s="5">
        <v>13279.1</v>
      </c>
    </row>
    <row r="70" spans="1:7" x14ac:dyDescent="0.3">
      <c r="A70" s="21">
        <v>56</v>
      </c>
      <c r="B70" s="25" t="s">
        <v>95</v>
      </c>
      <c r="C70" s="25">
        <v>13279.1</v>
      </c>
      <c r="D70" s="5">
        <v>1300</v>
      </c>
      <c r="E70" s="5">
        <v>54.43</v>
      </c>
      <c r="F70" s="5">
        <v>1245.57</v>
      </c>
      <c r="G70" s="5">
        <v>12033.53</v>
      </c>
    </row>
    <row r="71" spans="1:7" x14ac:dyDescent="0.3">
      <c r="A71" s="21">
        <v>57</v>
      </c>
      <c r="B71" s="25" t="s">
        <v>96</v>
      </c>
      <c r="C71" s="25">
        <v>12033.53</v>
      </c>
      <c r="D71" s="5">
        <v>1300</v>
      </c>
      <c r="E71" s="5">
        <v>49.33</v>
      </c>
      <c r="F71" s="5">
        <v>1250.67</v>
      </c>
      <c r="G71" s="5">
        <v>10782.86</v>
      </c>
    </row>
    <row r="72" spans="1:7" x14ac:dyDescent="0.3">
      <c r="A72" s="21">
        <v>58</v>
      </c>
      <c r="B72" s="25" t="s">
        <v>97</v>
      </c>
      <c r="C72" s="25">
        <v>10782.86</v>
      </c>
      <c r="D72" s="5">
        <v>1300</v>
      </c>
      <c r="E72" s="5">
        <v>44.2</v>
      </c>
      <c r="F72" s="5">
        <v>1255.8</v>
      </c>
      <c r="G72" s="5">
        <v>9527.06</v>
      </c>
    </row>
    <row r="73" spans="1:7" x14ac:dyDescent="0.3">
      <c r="A73" s="21">
        <v>59</v>
      </c>
      <c r="B73" s="25" t="s">
        <v>98</v>
      </c>
      <c r="C73" s="25">
        <v>9527.06</v>
      </c>
      <c r="D73" s="5">
        <v>1300</v>
      </c>
      <c r="E73" s="5">
        <v>39.049999999999997</v>
      </c>
      <c r="F73" s="5">
        <v>1260.95</v>
      </c>
      <c r="G73" s="5">
        <v>8266.11</v>
      </c>
    </row>
    <row r="74" spans="1:7" x14ac:dyDescent="0.3">
      <c r="A74" s="21">
        <v>60</v>
      </c>
      <c r="B74" s="25" t="s">
        <v>99</v>
      </c>
      <c r="C74" s="25">
        <v>8266.11</v>
      </c>
      <c r="D74" s="5">
        <v>1300</v>
      </c>
      <c r="E74" s="5">
        <v>33.880000000000003</v>
      </c>
      <c r="F74" s="5">
        <v>1266.1099999999999</v>
      </c>
      <c r="G74" s="5">
        <v>7000</v>
      </c>
    </row>
    <row r="75" spans="1:7" x14ac:dyDescent="0.3">
      <c r="E75" s="19">
        <f>SUM(E15:E74)</f>
        <v>10499.940000000002</v>
      </c>
      <c r="F75" s="19">
        <f>SUM(F15:F74)</f>
        <v>67500</v>
      </c>
      <c r="G75" s="9"/>
    </row>
  </sheetData>
  <mergeCells count="2">
    <mergeCell ref="E4:F4"/>
    <mergeCell ref="K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Overname</vt:lpstr>
      <vt:lpstr>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ZARZOSA</cp:lastModifiedBy>
  <dcterms:created xsi:type="dcterms:W3CDTF">2026-03-04T21:02:09Z</dcterms:created>
  <dcterms:modified xsi:type="dcterms:W3CDTF">2026-03-10T18:42:38Z</dcterms:modified>
</cp:coreProperties>
</file>