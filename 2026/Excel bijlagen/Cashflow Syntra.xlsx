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rzo\Desktop\Eindwerk 2026\Uitgewerkte bijlagen\"/>
    </mc:Choice>
  </mc:AlternateContent>
  <xr:revisionPtr revIDLastSave="0" documentId="13_ncr:1_{4999F3F0-8A59-43DC-9ACF-82D8528A6DE2}" xr6:coauthVersionLast="47" xr6:coauthVersionMax="47" xr10:uidLastSave="{00000000-0000-0000-0000-000000000000}"/>
  <bookViews>
    <workbookView xWindow="38280" yWindow="1440" windowWidth="29040" windowHeight="15720" firstSheet="5" activeTab="12" xr2:uid="{156782E7-93BB-49E8-A9FE-7B7FE42C16FB}"/>
  </bookViews>
  <sheets>
    <sheet name="Pot" sheetId="1" r:id="rId1"/>
    <sheet name="Op" sheetId="3" r:id="rId2"/>
    <sheet name="invest" sheetId="4" r:id="rId3"/>
    <sheet name="Vrije" sheetId="5" r:id="rId4"/>
    <sheet name="Fin" sheetId="2" r:id="rId5"/>
    <sheet name="KSS" sheetId="6" r:id="rId6"/>
    <sheet name="KSS_full" sheetId="8" r:id="rId7"/>
    <sheet name="KSS_FF" sheetId="9" r:id="rId8"/>
    <sheet name="KSS_FF (2)" sheetId="10" r:id="rId9"/>
    <sheet name="KSS_FF (3)" sheetId="11" r:id="rId10"/>
    <sheet name="KSS_full (2)" sheetId="12" r:id="rId11"/>
    <sheet name="Actie" sheetId="13" r:id="rId12"/>
    <sheet name="Actie 2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5" i="14" l="1"/>
  <c r="C91" i="14"/>
  <c r="C44" i="14" l="1"/>
  <c r="C90" i="14"/>
  <c r="C88" i="14"/>
  <c r="C66" i="14"/>
  <c r="C31" i="14"/>
  <c r="K41" i="14"/>
  <c r="C80" i="14"/>
  <c r="C79" i="14"/>
  <c r="C73" i="14"/>
  <c r="C71" i="14" s="1"/>
  <c r="C68" i="14"/>
  <c r="C60" i="14"/>
  <c r="C59" i="14"/>
  <c r="C58" i="14"/>
  <c r="C57" i="14" s="1"/>
  <c r="B71" i="12"/>
  <c r="C43" i="14"/>
  <c r="C42" i="14"/>
  <c r="C41" i="14"/>
  <c r="C49" i="14"/>
  <c r="J50" i="14"/>
  <c r="J44" i="14" s="1"/>
  <c r="J49" i="14"/>
  <c r="J43" i="14" s="1"/>
  <c r="K43" i="14" s="1"/>
  <c r="C33" i="14"/>
  <c r="C32" i="14"/>
  <c r="C30" i="14"/>
  <c r="C29" i="14"/>
  <c r="C28" i="14"/>
  <c r="C27" i="14"/>
  <c r="C25" i="14"/>
  <c r="F24" i="14"/>
  <c r="C24" i="14" s="1"/>
  <c r="C23" i="14"/>
  <c r="C12" i="14"/>
  <c r="C11" i="14"/>
  <c r="D10" i="14"/>
  <c r="D4" i="14"/>
  <c r="C4" i="14"/>
  <c r="F83" i="13"/>
  <c r="D51" i="13"/>
  <c r="D50" i="13"/>
  <c r="D49" i="13"/>
  <c r="C78" i="13"/>
  <c r="C63" i="13"/>
  <c r="C75" i="13"/>
  <c r="C77" i="13"/>
  <c r="C71" i="13"/>
  <c r="C69" i="13"/>
  <c r="C68" i="13"/>
  <c r="C66" i="13"/>
  <c r="C60" i="13"/>
  <c r="C59" i="13"/>
  <c r="C58" i="13"/>
  <c r="C61" i="13" s="1"/>
  <c r="C56" i="13" s="1"/>
  <c r="C57" i="13"/>
  <c r="C48" i="13"/>
  <c r="C41" i="13"/>
  <c r="C40" i="13"/>
  <c r="C42" i="13"/>
  <c r="L40" i="13"/>
  <c r="J53" i="13"/>
  <c r="J44" i="13"/>
  <c r="J38" i="13" s="1"/>
  <c r="F43" i="13" s="1"/>
  <c r="J43" i="13"/>
  <c r="J37" i="13" s="1"/>
  <c r="J49" i="13" s="1"/>
  <c r="C32" i="13"/>
  <c r="C31" i="13"/>
  <c r="C30" i="13"/>
  <c r="C29" i="13"/>
  <c r="C28" i="13"/>
  <c r="C27" i="13"/>
  <c r="C26" i="13"/>
  <c r="C24" i="13"/>
  <c r="F23" i="13"/>
  <c r="C23" i="13" s="1"/>
  <c r="C22" i="13"/>
  <c r="C4" i="13"/>
  <c r="C12" i="13"/>
  <c r="C11" i="13"/>
  <c r="D10" i="13"/>
  <c r="D4" i="13"/>
  <c r="M38" i="12"/>
  <c r="M36" i="12"/>
  <c r="M35" i="12"/>
  <c r="M34" i="12"/>
  <c r="M31" i="12"/>
  <c r="J44" i="12"/>
  <c r="J43" i="12"/>
  <c r="J42" i="12"/>
  <c r="J41" i="12"/>
  <c r="J37" i="12"/>
  <c r="N11" i="12"/>
  <c r="B36" i="12"/>
  <c r="B35" i="12" s="1"/>
  <c r="L12" i="12"/>
  <c r="J33" i="8"/>
  <c r="J30" i="8"/>
  <c r="J29" i="8"/>
  <c r="B76" i="12"/>
  <c r="B66" i="12"/>
  <c r="B65" i="12"/>
  <c r="B63" i="12"/>
  <c r="B59" i="12"/>
  <c r="B57" i="12"/>
  <c r="B56" i="12"/>
  <c r="B54" i="12"/>
  <c r="B51" i="12"/>
  <c r="B49" i="12"/>
  <c r="B48" i="12"/>
  <c r="B47" i="12"/>
  <c r="B46" i="12"/>
  <c r="B45" i="12" s="1"/>
  <c r="B44" i="12" s="1"/>
  <c r="B69" i="12" s="1"/>
  <c r="B74" i="12" s="1"/>
  <c r="B34" i="12"/>
  <c r="B33" i="12"/>
  <c r="J27" i="12"/>
  <c r="B27" i="12"/>
  <c r="B26" i="12"/>
  <c r="B25" i="12"/>
  <c r="B24" i="12"/>
  <c r="B23" i="12"/>
  <c r="B22" i="12"/>
  <c r="B21" i="12"/>
  <c r="B20" i="12"/>
  <c r="B19" i="12"/>
  <c r="J18" i="12"/>
  <c r="J23" i="12" s="1"/>
  <c r="J28" i="12" s="1"/>
  <c r="E18" i="12"/>
  <c r="B18" i="12"/>
  <c r="J17" i="12"/>
  <c r="B17" i="12"/>
  <c r="B16" i="12" s="1"/>
  <c r="C3" i="12"/>
  <c r="C9" i="12" s="1"/>
  <c r="C12" i="12" s="1"/>
  <c r="C14" i="12" s="1"/>
  <c r="B3" i="12"/>
  <c r="B9" i="12" s="1"/>
  <c r="B12" i="12" s="1"/>
  <c r="B14" i="12" s="1"/>
  <c r="B15" i="12" s="1"/>
  <c r="K71" i="11"/>
  <c r="J27" i="8"/>
  <c r="J18" i="8"/>
  <c r="J17" i="8"/>
  <c r="J23" i="8" s="1"/>
  <c r="J28" i="8" s="1"/>
  <c r="K69" i="11"/>
  <c r="K63" i="11"/>
  <c r="K61" i="11"/>
  <c r="K60" i="11"/>
  <c r="K56" i="11"/>
  <c r="K51" i="11"/>
  <c r="K50" i="11"/>
  <c r="C33" i="10"/>
  <c r="C31" i="10" s="1"/>
  <c r="C3" i="10"/>
  <c r="C55" i="11"/>
  <c r="C58" i="11"/>
  <c r="C79" i="11"/>
  <c r="C68" i="11"/>
  <c r="C67" i="11"/>
  <c r="C72" i="11" s="1"/>
  <c r="C60" i="11"/>
  <c r="C65" i="11" s="1"/>
  <c r="C54" i="11"/>
  <c r="C53" i="11"/>
  <c r="C51" i="11"/>
  <c r="C50" i="11"/>
  <c r="C38" i="11"/>
  <c r="C37" i="11"/>
  <c r="C35" i="11"/>
  <c r="C28" i="11"/>
  <c r="C27" i="11"/>
  <c r="C26" i="11"/>
  <c r="C25" i="11"/>
  <c r="C24" i="11"/>
  <c r="C23" i="11"/>
  <c r="C21" i="11"/>
  <c r="F20" i="11"/>
  <c r="C20" i="11" s="1"/>
  <c r="C19" i="11"/>
  <c r="G10" i="11"/>
  <c r="G14" i="11" s="1"/>
  <c r="C9" i="11"/>
  <c r="C8" i="11" s="1"/>
  <c r="C3" i="11"/>
  <c r="C41" i="10"/>
  <c r="C82" i="10"/>
  <c r="C71" i="10"/>
  <c r="C70" i="10"/>
  <c r="C75" i="10" s="1"/>
  <c r="C63" i="10"/>
  <c r="C68" i="10" s="1"/>
  <c r="C61" i="10"/>
  <c r="C58" i="10" s="1"/>
  <c r="C57" i="10"/>
  <c r="C56" i="10"/>
  <c r="C54" i="10"/>
  <c r="C53" i="10"/>
  <c r="C40" i="10"/>
  <c r="C39" i="10"/>
  <c r="C38" i="10" s="1"/>
  <c r="C30" i="10"/>
  <c r="C28" i="10"/>
  <c r="C27" i="10"/>
  <c r="C26" i="10"/>
  <c r="C25" i="10"/>
  <c r="C23" i="10"/>
  <c r="F22" i="10"/>
  <c r="C22" i="10" s="1"/>
  <c r="C21" i="10"/>
  <c r="G12" i="10"/>
  <c r="G16" i="10" s="1"/>
  <c r="C11" i="10"/>
  <c r="C10" i="10"/>
  <c r="C9" i="10" s="1"/>
  <c r="D3" i="10"/>
  <c r="D12" i="10" s="1"/>
  <c r="D14" i="10" s="1"/>
  <c r="D16" i="10" s="1"/>
  <c r="C77" i="14" l="1"/>
  <c r="K55" i="14"/>
  <c r="C26" i="14"/>
  <c r="C63" i="14"/>
  <c r="C61" i="14" s="1"/>
  <c r="C56" i="14" s="1"/>
  <c r="C83" i="14" s="1"/>
  <c r="C10" i="14"/>
  <c r="C40" i="14"/>
  <c r="J55" i="14"/>
  <c r="J56" i="14" s="1"/>
  <c r="D13" i="14"/>
  <c r="D16" i="14" s="1"/>
  <c r="D18" i="14" s="1"/>
  <c r="C22" i="14"/>
  <c r="C13" i="14"/>
  <c r="C16" i="14" s="1"/>
  <c r="C18" i="14" s="1"/>
  <c r="C20" i="14" s="1"/>
  <c r="C36" i="14" s="1"/>
  <c r="C50" i="14" s="1"/>
  <c r="C81" i="13"/>
  <c r="C83" i="13" s="1"/>
  <c r="C84" i="13" s="1"/>
  <c r="C10" i="13"/>
  <c r="D13" i="13"/>
  <c r="D16" i="13" s="1"/>
  <c r="D18" i="13" s="1"/>
  <c r="C21" i="13"/>
  <c r="C25" i="13"/>
  <c r="C13" i="13"/>
  <c r="C16" i="13" s="1"/>
  <c r="C18" i="13" s="1"/>
  <c r="C20" i="13" s="1"/>
  <c r="C39" i="13"/>
  <c r="C46" i="13" s="1"/>
  <c r="C50" i="13" s="1"/>
  <c r="J54" i="13"/>
  <c r="B39" i="12"/>
  <c r="B41" i="12" s="1"/>
  <c r="B29" i="12"/>
  <c r="J29" i="12" s="1"/>
  <c r="J30" i="12" s="1"/>
  <c r="J35" i="12" s="1"/>
  <c r="K79" i="11"/>
  <c r="C20" i="10"/>
  <c r="C62" i="10"/>
  <c r="C18" i="11"/>
  <c r="C10" i="11"/>
  <c r="C12" i="11" s="1"/>
  <c r="C14" i="11" s="1"/>
  <c r="C17" i="11" s="1"/>
  <c r="C59" i="11"/>
  <c r="C73" i="11" s="1"/>
  <c r="C22" i="11"/>
  <c r="C43" i="11"/>
  <c r="C45" i="11" s="1"/>
  <c r="C46" i="10"/>
  <c r="C48" i="10" s="1"/>
  <c r="C24" i="10"/>
  <c r="C12" i="10"/>
  <c r="C14" i="10" s="1"/>
  <c r="C16" i="10" s="1"/>
  <c r="C19" i="10" s="1"/>
  <c r="C76" i="10"/>
  <c r="C80" i="10" s="1"/>
  <c r="C35" i="14" l="1"/>
  <c r="C47" i="14"/>
  <c r="C34" i="13"/>
  <c r="I55" i="13"/>
  <c r="B42" i="12"/>
  <c r="B73" i="12" s="1"/>
  <c r="B75" i="12" s="1"/>
  <c r="B77" i="12" s="1"/>
  <c r="B40" i="12"/>
  <c r="J31" i="12" s="1"/>
  <c r="C77" i="11"/>
  <c r="K64" i="11"/>
  <c r="K65" i="11" s="1"/>
  <c r="K66" i="11" s="1"/>
  <c r="C34" i="10"/>
  <c r="C47" i="10" s="1"/>
  <c r="C49" i="10" s="1"/>
  <c r="C79" i="10" s="1"/>
  <c r="C81" i="10" s="1"/>
  <c r="C83" i="10" s="1"/>
  <c r="C31" i="11"/>
  <c r="C44" i="11"/>
  <c r="C46" i="11" s="1"/>
  <c r="C76" i="11" s="1"/>
  <c r="C51" i="14" l="1"/>
  <c r="C52" i="14" s="1"/>
  <c r="C87" i="14" s="1"/>
  <c r="C89" i="14" s="1"/>
  <c r="C49" i="13"/>
  <c r="C51" i="13" s="1"/>
  <c r="I59" i="13"/>
  <c r="I60" i="13" s="1"/>
  <c r="I61" i="13" s="1"/>
  <c r="J32" i="12"/>
  <c r="J33" i="12" s="1"/>
  <c r="C78" i="11"/>
  <c r="C80" i="11" s="1"/>
  <c r="B74" i="8"/>
  <c r="B73" i="8"/>
  <c r="B76" i="8"/>
  <c r="B75" i="8"/>
  <c r="B77" i="8" s="1"/>
  <c r="C80" i="9"/>
  <c r="C79" i="9"/>
  <c r="C39" i="9"/>
  <c r="C38" i="9"/>
  <c r="C37" i="9"/>
  <c r="C36" i="9" s="1"/>
  <c r="C68" i="9"/>
  <c r="C67" i="9"/>
  <c r="C60" i="9"/>
  <c r="C65" i="9" s="1"/>
  <c r="C58" i="9"/>
  <c r="C55" i="9" s="1"/>
  <c r="C54" i="9"/>
  <c r="C53" i="9"/>
  <c r="C52" i="9"/>
  <c r="C51" i="9"/>
  <c r="C50" i="9"/>
  <c r="B29" i="8"/>
  <c r="C30" i="9"/>
  <c r="C29" i="9"/>
  <c r="C28" i="9"/>
  <c r="C27" i="9"/>
  <c r="C26" i="9"/>
  <c r="C25" i="9"/>
  <c r="C24" i="9"/>
  <c r="C22" i="9"/>
  <c r="F21" i="9"/>
  <c r="C21" i="9" s="1"/>
  <c r="C20" i="9"/>
  <c r="G11" i="9"/>
  <c r="G15" i="9" s="1"/>
  <c r="C10" i="9"/>
  <c r="C9" i="9"/>
  <c r="C8" i="9" s="1"/>
  <c r="D3" i="9"/>
  <c r="D11" i="9" s="1"/>
  <c r="D13" i="9" s="1"/>
  <c r="D15" i="9" s="1"/>
  <c r="C3" i="9"/>
  <c r="C2" i="9"/>
  <c r="B27" i="8"/>
  <c r="B66" i="8"/>
  <c r="B65" i="8"/>
  <c r="B59" i="8"/>
  <c r="B57" i="8" s="1"/>
  <c r="B56" i="8"/>
  <c r="B54" i="8" s="1"/>
  <c r="B48" i="8"/>
  <c r="B47" i="8"/>
  <c r="B46" i="8"/>
  <c r="B51" i="8" s="1"/>
  <c r="B49" i="8" s="1"/>
  <c r="B32" i="8"/>
  <c r="B10" i="5"/>
  <c r="B35" i="8"/>
  <c r="C3" i="8"/>
  <c r="B3" i="8"/>
  <c r="B9" i="8" s="1"/>
  <c r="B34" i="8"/>
  <c r="B33" i="8"/>
  <c r="B25" i="8"/>
  <c r="B26" i="8"/>
  <c r="B24" i="8"/>
  <c r="B23" i="8"/>
  <c r="B22" i="8"/>
  <c r="B21" i="8"/>
  <c r="B19" i="8"/>
  <c r="E18" i="8"/>
  <c r="B18" i="8" s="1"/>
  <c r="B17" i="8"/>
  <c r="B14" i="6"/>
  <c r="C61" i="2"/>
  <c r="C55" i="2"/>
  <c r="C58" i="2"/>
  <c r="C57" i="2"/>
  <c r="C51" i="2"/>
  <c r="C49" i="2" s="1"/>
  <c r="C69" i="2"/>
  <c r="C66" i="2" s="1"/>
  <c r="C48" i="2"/>
  <c r="C46" i="2" s="1"/>
  <c r="C40" i="2"/>
  <c r="C39" i="2"/>
  <c r="C38" i="2"/>
  <c r="C43" i="2" s="1"/>
  <c r="C41" i="2" s="1"/>
  <c r="B13" i="6"/>
  <c r="B16" i="5"/>
  <c r="B15" i="5"/>
  <c r="B22" i="4"/>
  <c r="B21" i="4"/>
  <c r="B14" i="4"/>
  <c r="B13" i="4"/>
  <c r="B24" i="3"/>
  <c r="B35" i="3"/>
  <c r="B34" i="3"/>
  <c r="B32" i="3"/>
  <c r="B31" i="3"/>
  <c r="B33" i="3"/>
  <c r="B30" i="3"/>
  <c r="B29" i="3" s="1"/>
  <c r="B28" i="3"/>
  <c r="E27" i="3"/>
  <c r="B27" i="3" s="1"/>
  <c r="B26" i="3"/>
  <c r="D39" i="1"/>
  <c r="C39" i="1"/>
  <c r="D31" i="1"/>
  <c r="C37" i="1"/>
  <c r="D25" i="1"/>
  <c r="D34" i="1"/>
  <c r="D37" i="1" s="1"/>
  <c r="C34" i="1"/>
  <c r="C33" i="1"/>
  <c r="C32" i="1"/>
  <c r="C31" i="1"/>
  <c r="C25" i="1"/>
  <c r="Q14" i="3"/>
  <c r="C12" i="2"/>
  <c r="C17" i="2" s="1"/>
  <c r="C10" i="2"/>
  <c r="C7" i="2" s="1"/>
  <c r="C6" i="2"/>
  <c r="C5" i="2"/>
  <c r="C3" i="2"/>
  <c r="C4" i="2"/>
  <c r="C2" i="2"/>
  <c r="C18" i="2"/>
  <c r="C24" i="2" s="1"/>
  <c r="B3" i="4"/>
  <c r="B4" i="4"/>
  <c r="B9" i="3"/>
  <c r="B11" i="3"/>
  <c r="B10" i="3"/>
  <c r="B12" i="3"/>
  <c r="B8" i="3"/>
  <c r="E5" i="3"/>
  <c r="B5" i="3" s="1"/>
  <c r="B6" i="3"/>
  <c r="B4" i="3"/>
  <c r="C11" i="1"/>
  <c r="C10" i="1"/>
  <c r="C3" i="1"/>
  <c r="D4" i="1"/>
  <c r="D12" i="1" s="1"/>
  <c r="D14" i="1" s="1"/>
  <c r="D16" i="1" s="1"/>
  <c r="C4" i="1"/>
  <c r="G12" i="1"/>
  <c r="G16" i="1" s="1"/>
  <c r="C72" i="9" l="1"/>
  <c r="C43" i="9"/>
  <c r="C45" i="9"/>
  <c r="C11" i="9"/>
  <c r="C13" i="9" s="1"/>
  <c r="C15" i="9" s="1"/>
  <c r="C18" i="9" s="1"/>
  <c r="C19" i="9"/>
  <c r="C23" i="9"/>
  <c r="C32" i="9" s="1"/>
  <c r="C44" i="9" s="1"/>
  <c r="C46" i="9" s="1"/>
  <c r="C76" i="9" s="1"/>
  <c r="C78" i="9" s="1"/>
  <c r="C59" i="9"/>
  <c r="C73" i="9" s="1"/>
  <c r="C77" i="9" s="1"/>
  <c r="B39" i="8"/>
  <c r="B41" i="8" s="1"/>
  <c r="B63" i="8"/>
  <c r="B45" i="8"/>
  <c r="B44" i="8" s="1"/>
  <c r="B69" i="8" s="1"/>
  <c r="B20" i="8"/>
  <c r="B16" i="8"/>
  <c r="B12" i="8"/>
  <c r="B14" i="8" s="1"/>
  <c r="B15" i="8" s="1"/>
  <c r="C9" i="8"/>
  <c r="C12" i="8" s="1"/>
  <c r="C14" i="8" s="1"/>
  <c r="C11" i="2"/>
  <c r="C37" i="2"/>
  <c r="C70" i="2"/>
  <c r="B17" i="5"/>
  <c r="B51" i="3"/>
  <c r="B25" i="3"/>
  <c r="B50" i="3" s="1"/>
  <c r="C25" i="2"/>
  <c r="B3" i="6" s="1"/>
  <c r="B7" i="3"/>
  <c r="B17" i="3" s="1"/>
  <c r="C9" i="1"/>
  <c r="C12" i="1" s="1"/>
  <c r="B3" i="3"/>
  <c r="B16" i="3" s="1"/>
  <c r="B42" i="8" l="1"/>
  <c r="C36" i="2"/>
  <c r="C73" i="2"/>
  <c r="B38" i="3"/>
  <c r="B52" i="3"/>
  <c r="B18" i="3"/>
  <c r="B2" i="3"/>
  <c r="B13" i="3" s="1"/>
  <c r="B2" i="5" s="1"/>
  <c r="B4" i="5" s="1"/>
  <c r="C14" i="1"/>
  <c r="C16" i="1" s="1"/>
  <c r="B40" i="8" l="1"/>
  <c r="C80" i="2"/>
  <c r="C81" i="2" s="1"/>
  <c r="B15" i="6" s="1"/>
  <c r="D22" i="6" s="1"/>
  <c r="B2" i="6"/>
  <c r="B4" i="6" s="1"/>
  <c r="B7" i="4"/>
</calcChain>
</file>

<file path=xl/sharedStrings.xml><?xml version="1.0" encoding="utf-8"?>
<sst xmlns="http://schemas.openxmlformats.org/spreadsheetml/2006/main" count="1333" uniqueCount="195">
  <si>
    <t>MAR Code</t>
  </si>
  <si>
    <t>PLUS niet-kaskosten</t>
  </si>
  <si>
    <t>[630]</t>
  </si>
  <si>
    <t>Winst van het boekjaar voor belastingen</t>
  </si>
  <si>
    <t>Afschrijvingen</t>
  </si>
  <si>
    <t>[631/4]</t>
  </si>
  <si>
    <t>Waardeverminderingen op handelsvorderingen en voorraden</t>
  </si>
  <si>
    <t>[635/8]</t>
  </si>
  <si>
    <t>Voorzieningen voor risico’s en kosten</t>
  </si>
  <si>
    <t>pag 146</t>
  </si>
  <si>
    <t>[680]</t>
  </si>
  <si>
    <t>Overboeking naar de uitgestelde belastingen</t>
  </si>
  <si>
    <t>MIN niet-kasopbrengsten</t>
  </si>
  <si>
    <t>[780]</t>
  </si>
  <si>
    <t>Onttrekking aan de uitgestelde belastingen</t>
  </si>
  <si>
    <t>[9904]+[67/77]</t>
  </si>
  <si>
    <t>Aangerekende kapitaalsubsidies in resultaat</t>
  </si>
  <si>
    <t xml:space="preserve">[9125] vol Model, </t>
  </si>
  <si>
    <t>Potentiële operationele cashflow voor belasting</t>
  </si>
  <si>
    <t xml:space="preserve">Potentiële operationele cashflow </t>
  </si>
  <si>
    <t>Vennootschapsbelasting</t>
  </si>
  <si>
    <t>Cashflow Analysis</t>
  </si>
  <si>
    <t>Component</t>
  </si>
  <si>
    <t>Bedrag (€)</t>
  </si>
  <si>
    <t>Code</t>
  </si>
  <si>
    <t>Type</t>
  </si>
  <si>
    <t>Potentiële operationele cashflow</t>
  </si>
  <si>
    <t>Toename (-) van operationele activa korte termijn</t>
  </si>
  <si>
    <t>Mutatie</t>
  </si>
  <si>
    <t>[30/36]</t>
  </si>
  <si>
    <t>mutatie</t>
  </si>
  <si>
    <t>[40/41]</t>
  </si>
  <si>
    <t>[490/1]</t>
  </si>
  <si>
    <t>Toename/afname van operationele passiva</t>
  </si>
  <si>
    <t>[42]</t>
  </si>
  <si>
    <t>[44]</t>
  </si>
  <si>
    <t>[46]</t>
  </si>
  <si>
    <t>[45]</t>
  </si>
  <si>
    <t>[492/3]</t>
  </si>
  <si>
    <t>Cashflow uit operationele activiteiten</t>
  </si>
  <si>
    <t>Toename: geld om activa te financiering</t>
  </si>
  <si>
    <t>Afname, geld om passiva te betalen</t>
  </si>
  <si>
    <t>Totaal correcties</t>
  </si>
  <si>
    <t>[8079]</t>
  </si>
  <si>
    <t>Tegenboeking afschrijvingen</t>
  </si>
  <si>
    <t>Balansmutatie</t>
  </si>
  <si>
    <t>[22/27]</t>
  </si>
  <si>
    <t>Mutatie materiële vaste activa</t>
  </si>
  <si>
    <t>Toelichting</t>
  </si>
  <si>
    <t>Omschrijving</t>
  </si>
  <si>
    <t>Mutatie immateriële vaste activa</t>
  </si>
  <si>
    <t>[20/21]</t>
  </si>
  <si>
    <t>[8279]</t>
  </si>
  <si>
    <t>Correctie: afschrijvingen IMVA</t>
  </si>
  <si>
    <t>Correctie: afschrijvingen MVA</t>
  </si>
  <si>
    <t>Indirecte Methode</t>
  </si>
  <si>
    <t>Cashflow van het eigen vermogen</t>
  </si>
  <si>
    <t>PLUS intresten uit vreemd vermogen</t>
  </si>
  <si>
    <t>[65]</t>
  </si>
  <si>
    <t>Vrije cashflow</t>
  </si>
  <si>
    <t>Cashflow uit investeringsactiviteiten</t>
  </si>
  <si>
    <t>Herwaarderingsmeerwaarden</t>
  </si>
  <si>
    <t xml:space="preserve"> [492] </t>
  </si>
  <si>
    <t xml:space="preserve">Toename schuld aandeelhouder  </t>
  </si>
  <si>
    <t>[47]</t>
  </si>
  <si>
    <t>[12]</t>
  </si>
  <si>
    <t>Reserves</t>
  </si>
  <si>
    <t>[13]</t>
  </si>
  <si>
    <t>Overgedragen winst/verlies</t>
  </si>
  <si>
    <t>[140/141]</t>
  </si>
  <si>
    <t>[15]</t>
  </si>
  <si>
    <t>Kapitaalsubsidies</t>
  </si>
  <si>
    <t>– Winst van het boekjaar/+verlies van het boekjaar</t>
  </si>
  <si>
    <t>[9904]</t>
  </si>
  <si>
    <t>Uit te keren winst</t>
  </si>
  <si>
    <t>[694/7]</t>
  </si>
  <si>
    <t>Verrekende kapitaalsubsidies in resultaat</t>
  </si>
  <si>
    <t>[9125]</t>
  </si>
  <si>
    <t>MAR CODE 744 VMA winst?</t>
  </si>
  <si>
    <t>[16]</t>
  </si>
  <si>
    <r>
      <rPr>
        <b/>
        <sz val="11"/>
        <color theme="1"/>
        <rFont val="Aptos Narrow"/>
        <family val="2"/>
        <scheme val="minor"/>
      </rPr>
      <t>Toename</t>
    </r>
    <r>
      <rPr>
        <sz val="11"/>
        <color theme="1"/>
        <rFont val="Aptos Narrow"/>
        <family val="2"/>
        <scheme val="minor"/>
      </rPr>
      <t xml:space="preserve"> Voorzieningen en belastingen</t>
    </r>
  </si>
  <si>
    <t>[635/9]</t>
  </si>
  <si>
    <t>Correcties</t>
  </si>
  <si>
    <t>– Voorzieningen voor risico’s en kosten</t>
  </si>
  <si>
    <t>Onttrekkingen aan de uitgestelde belastingen</t>
  </si>
  <si>
    <t>– Overboekingen naar de uitgestelde belastingen</t>
  </si>
  <si>
    <t>[170/4]</t>
  </si>
  <si>
    <r>
      <rPr>
        <b/>
        <sz val="11"/>
        <color theme="1"/>
        <rFont val="Aptos Narrow"/>
        <family val="2"/>
        <scheme val="minor"/>
      </rPr>
      <t>Toename</t>
    </r>
    <r>
      <rPr>
        <sz val="11"/>
        <color theme="1"/>
        <rFont val="Aptos Narrow"/>
        <family val="2"/>
        <scheme val="minor"/>
      </rPr>
      <t xml:space="preserve"> financiële schuld LT</t>
    </r>
  </si>
  <si>
    <r>
      <rPr>
        <b/>
        <sz val="11"/>
        <color theme="1"/>
        <rFont val="Aptos Narrow"/>
        <family val="2"/>
        <scheme val="minor"/>
      </rPr>
      <t>Toename</t>
    </r>
    <r>
      <rPr>
        <sz val="11"/>
        <color theme="1"/>
        <rFont val="Aptos Narrow"/>
        <family val="2"/>
        <scheme val="minor"/>
      </rPr>
      <t xml:space="preserve"> financiële schuld KT</t>
    </r>
  </si>
  <si>
    <t>– Uit te keren winst</t>
  </si>
  <si>
    <t>2 Kasstroom uit financieringsactiviteiten met voorzieningen en belastingen</t>
  </si>
  <si>
    <t>3 Kasstroom uit financieringsactiviteiten met financiële schulden</t>
  </si>
  <si>
    <t>Cashflow uit financieringsactiviteit (1+2+3)</t>
  </si>
  <si>
    <t>A Toename Eigen Vermogen</t>
  </si>
  <si>
    <t>B Correctie te bestemmen resultaat</t>
  </si>
  <si>
    <t>1 Kasstroom uit financieringsactiviteiten met het eigen vermogen (A+B)</t>
  </si>
  <si>
    <t>Correcties intresten (berekend als TRK)</t>
  </si>
  <si>
    <t>€</t>
  </si>
  <si>
    <t>MAR-Code</t>
  </si>
  <si>
    <t>Vrije Cashflow</t>
  </si>
  <si>
    <t xml:space="preserve">Cashflow uit financieringsactiviteit </t>
  </si>
  <si>
    <t>Totale Cashflow</t>
  </si>
  <si>
    <t>Liquide middelen</t>
  </si>
  <si>
    <t>54/58</t>
  </si>
  <si>
    <t>[6300/2, 660,- 760- 761, 6501]</t>
  </si>
  <si>
    <t>[641/2]</t>
  </si>
  <si>
    <t>Minderwaarde realisatie voordering</t>
  </si>
  <si>
    <t>Belastingen</t>
  </si>
  <si>
    <t>Cashflow van het eigen vermogen voor belasting</t>
  </si>
  <si>
    <t>[67/77]</t>
  </si>
  <si>
    <t xml:space="preserve"> [9903]</t>
  </si>
  <si>
    <t>[454/49]</t>
  </si>
  <si>
    <t>Toename van operationele passiva</t>
  </si>
  <si>
    <t>[450/3]</t>
  </si>
  <si>
    <t xml:space="preserve"> [47/8]</t>
  </si>
  <si>
    <t>Uitkering</t>
  </si>
  <si>
    <t>Verschil</t>
  </si>
  <si>
    <t xml:space="preserve">Minderwrde realisatie vorder. </t>
  </si>
  <si>
    <t>[642]</t>
  </si>
  <si>
    <t>MIN Toename van operationele activa korte termijn</t>
  </si>
  <si>
    <t>[9905]</t>
  </si>
  <si>
    <t>[132]</t>
  </si>
  <si>
    <t>Voorzieningen en uitgestelde belasting</t>
  </si>
  <si>
    <t>Mutaties</t>
  </si>
  <si>
    <t>[168]</t>
  </si>
  <si>
    <t>–  Uitgestelde belastingen</t>
  </si>
  <si>
    <t>– Herwaarderingsmeerwaarden</t>
  </si>
  <si>
    <t>– Belastingvrije reserves</t>
  </si>
  <si>
    <t>– Dividend uitkering</t>
  </si>
  <si>
    <t>Financiële schuld LT</t>
  </si>
  <si>
    <r>
      <rPr>
        <b/>
        <sz val="11"/>
        <color theme="1"/>
        <rFont val="Aptos Narrow"/>
        <family val="2"/>
        <scheme val="minor"/>
      </rPr>
      <t>–  F</t>
    </r>
    <r>
      <rPr>
        <sz val="11"/>
        <color theme="1"/>
        <rFont val="Aptos Narrow"/>
        <family val="2"/>
        <scheme val="minor"/>
      </rPr>
      <t>inanciële schuld KT</t>
    </r>
  </si>
  <si>
    <t>–  Intresten uit vreemd vermogen</t>
  </si>
  <si>
    <t>1 Eigen Vermogen</t>
  </si>
  <si>
    <t>2 Kapitaalsubsidies</t>
  </si>
  <si>
    <t>3 Voorzieningen en uitgestelde belasting</t>
  </si>
  <si>
    <t>4 Financiële schulden</t>
  </si>
  <si>
    <t>Cashflow uit financieringsactiviteit (1+2+3+4)</t>
  </si>
  <si>
    <t>Voorraden en BIU</t>
  </si>
  <si>
    <t>Voorderingen</t>
  </si>
  <si>
    <t>Overlopende rekeningen</t>
  </si>
  <si>
    <t>Plus Mutatie bedrijfspasiva (operationele passiva)</t>
  </si>
  <si>
    <t>Leveranciers</t>
  </si>
  <si>
    <t>[454/9]</t>
  </si>
  <si>
    <t>Bezoldigingen</t>
  </si>
  <si>
    <t>Overige schulden</t>
  </si>
  <si>
    <t>[48]</t>
  </si>
  <si>
    <t>Vooruitbetalingen op bestellingen</t>
  </si>
  <si>
    <t>Immateriële vaste activa</t>
  </si>
  <si>
    <t>Materiële vaste activa</t>
  </si>
  <si>
    <t>Afschrijvingen MVA</t>
  </si>
  <si>
    <t>Afschrijvingen IMVA</t>
  </si>
  <si>
    <t>cashflow uit investeringsactiviteiten</t>
  </si>
  <si>
    <t>[6300/2]</t>
  </si>
  <si>
    <t>Cashflow</t>
  </si>
  <si>
    <t>Min Mutaties bedrijfsactiva (operationele activa korte termijn)</t>
  </si>
  <si>
    <t>of [694]</t>
  </si>
  <si>
    <r>
      <t>Toename</t>
    </r>
    <r>
      <rPr>
        <sz val="11"/>
        <color theme="1"/>
        <rFont val="Aptos Narrow"/>
        <family val="2"/>
        <scheme val="minor"/>
      </rPr>
      <t xml:space="preserve"> Voorzieningen en uitgestelde belastingen</t>
    </r>
  </si>
  <si>
    <t>– Financiële kaskosten van het vreemd vermogen voor</t>
  </si>
  <si>
    <t>belasting</t>
  </si>
  <si>
    <t>– Financiële kaskosten van het vreemd vermogen voor belasting</t>
  </si>
  <si>
    <t>[65/66B]</t>
  </si>
  <si>
    <t>Mutatie liquide middelen</t>
  </si>
  <si>
    <t>[9903]</t>
  </si>
  <si>
    <t>Meerwaarden</t>
  </si>
  <si>
    <t>Min Geboekte waardevermindering op vordering</t>
  </si>
  <si>
    <t>Minderwaarde handelsvorderingen</t>
  </si>
  <si>
    <t>Waardeverminderingen op  voorraden</t>
  </si>
  <si>
    <t>Waardeverminderingen op handelsvorderingen</t>
  </si>
  <si>
    <t>[633/4]</t>
  </si>
  <si>
    <t>[631/2]</t>
  </si>
  <si>
    <t xml:space="preserve">Aankoop </t>
  </si>
  <si>
    <t>Investering</t>
  </si>
  <si>
    <t>Aankoop</t>
  </si>
  <si>
    <t>Goodwil</t>
  </si>
  <si>
    <t>Correctie</t>
  </si>
  <si>
    <t>Verkoop</t>
  </si>
  <si>
    <t>Machine B</t>
  </si>
  <si>
    <t>Machine Overname</t>
  </si>
  <si>
    <t>Boermachine</t>
  </si>
  <si>
    <t>Freesmachine</t>
  </si>
  <si>
    <t>correctie</t>
  </si>
  <si>
    <t>Totaal Aankoop</t>
  </si>
  <si>
    <t>Vrije cashflow'</t>
  </si>
  <si>
    <t>fin</t>
  </si>
  <si>
    <t>verschil</t>
  </si>
  <si>
    <t>Leasing</t>
  </si>
  <si>
    <t>Inrichtinge gebouwen</t>
  </si>
  <si>
    <t>Totaal Verkoop</t>
  </si>
  <si>
    <t>Cashflow uit inv.act</t>
  </si>
  <si>
    <t>vrije cashflow</t>
  </si>
  <si>
    <t>VA</t>
  </si>
  <si>
    <t>VA correctie</t>
  </si>
  <si>
    <t>Afshrijving</t>
  </si>
  <si>
    <t>Direct Methode</t>
  </si>
  <si>
    <t>Niet kasopbrengst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</si>
</sst>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€-813]\ * #,##0.00_ ;_ [$€-813]\ * \-#,##0.00_ ;_ [$€-813]\ * &quot;-&quot;??_ ;_ @_ "/>
    <numFmt numFmtId="165" formatCode="&quot;€&quot;\ #,##0.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  <font>
      <sz val="11"/>
      <name val="Aptos Narrow"/>
      <family val="2"/>
      <scheme val="minor"/>
    </font>
    <font>
      <i/>
      <sz val="10"/>
      <color indexed="8"/>
      <name val="Roboto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2" borderId="0" xfId="0" applyFill="1"/>
    <xf numFmtId="2" fontId="1" fillId="0" borderId="0" xfId="0" applyNumberFormat="1" applyFont="1"/>
    <xf numFmtId="2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165" fontId="2" fillId="0" borderId="0" xfId="0" applyNumberFormat="1" applyFont="1"/>
    <xf numFmtId="165" fontId="0" fillId="0" borderId="0" xfId="0" applyNumberFormat="1"/>
    <xf numFmtId="3" fontId="0" fillId="0" borderId="0" xfId="0" applyNumberFormat="1"/>
    <xf numFmtId="165" fontId="1" fillId="0" borderId="0" xfId="0" applyNumberFormat="1" applyFont="1"/>
    <xf numFmtId="165" fontId="0" fillId="2" borderId="0" xfId="0" applyNumberFormat="1" applyFill="1"/>
    <xf numFmtId="0" fontId="4" fillId="0" borderId="0" xfId="0" applyFont="1" applyAlignment="1">
      <alignment horizontal="center" wrapText="1"/>
    </xf>
    <xf numFmtId="164" fontId="4" fillId="0" borderId="0" xfId="0" applyNumberFormat="1" applyFont="1"/>
    <xf numFmtId="165" fontId="5" fillId="0" borderId="0" xfId="0" applyNumberFormat="1" applyFont="1"/>
    <xf numFmtId="0" fontId="5" fillId="0" borderId="0" xfId="0" applyFont="1"/>
    <xf numFmtId="0" fontId="4" fillId="0" borderId="0" xfId="0" applyFont="1"/>
    <xf numFmtId="165" fontId="4" fillId="0" borderId="0" xfId="0" applyNumberFormat="1" applyFont="1"/>
    <xf numFmtId="4" fontId="4" fillId="0" borderId="0" xfId="0" applyNumberFormat="1" applyFont="1"/>
    <xf numFmtId="165" fontId="6" fillId="0" borderId="0" xfId="0" applyNumberFormat="1" applyFont="1"/>
    <xf numFmtId="0" fontId="6" fillId="0" borderId="0" xfId="0" applyFont="1"/>
    <xf numFmtId="4" fontId="6" fillId="0" borderId="0" xfId="0" applyNumberFormat="1" applyFont="1"/>
    <xf numFmtId="165" fontId="6" fillId="2" borderId="0" xfId="0" applyNumberFormat="1" applyFont="1" applyFill="1"/>
    <xf numFmtId="0" fontId="6" fillId="2" borderId="0" xfId="0" applyFont="1" applyFill="1"/>
    <xf numFmtId="4" fontId="6" fillId="2" borderId="0" xfId="0" applyNumberFormat="1" applyFont="1" applyFill="1"/>
    <xf numFmtId="0" fontId="3" fillId="0" borderId="0" xfId="0" applyFont="1" applyAlignment="1">
      <alignment wrapText="1"/>
    </xf>
    <xf numFmtId="0" fontId="0" fillId="3" borderId="0" xfId="0" applyFill="1"/>
    <xf numFmtId="0" fontId="3" fillId="2" borderId="0" xfId="0" applyFont="1" applyFill="1"/>
    <xf numFmtId="165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4" fontId="0" fillId="2" borderId="0" xfId="0" applyNumberFormat="1" applyFill="1"/>
    <xf numFmtId="0" fontId="0" fillId="2" borderId="0" xfId="0" applyFill="1" applyAlignment="1">
      <alignment horizontal="center"/>
    </xf>
    <xf numFmtId="2" fontId="1" fillId="2" borderId="0" xfId="0" applyNumberFormat="1" applyFont="1" applyFill="1" applyAlignment="1">
      <alignment wrapText="1"/>
    </xf>
    <xf numFmtId="165" fontId="1" fillId="2" borderId="0" xfId="0" applyNumberFormat="1" applyFont="1" applyFill="1" applyAlignment="1">
      <alignment vertical="center"/>
    </xf>
    <xf numFmtId="2" fontId="0" fillId="2" borderId="0" xfId="0" applyNumberFormat="1" applyFill="1" applyAlignment="1">
      <alignment wrapText="1"/>
    </xf>
    <xf numFmtId="165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2" fontId="1" fillId="2" borderId="0" xfId="0" applyNumberFormat="1" applyFont="1" applyFill="1" applyAlignment="1">
      <alignment vertic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vertical="center"/>
    </xf>
    <xf numFmtId="2" fontId="0" fillId="0" borderId="0" xfId="0" applyNumberFormat="1" applyAlignment="1">
      <alignment wrapText="1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2" fontId="1" fillId="0" borderId="0" xfId="0" applyNumberFormat="1" applyFont="1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center" wrapText="1"/>
    </xf>
    <xf numFmtId="165" fontId="1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1" fillId="2" borderId="0" xfId="0" applyNumberFormat="1" applyFont="1" applyFill="1"/>
    <xf numFmtId="164" fontId="0" fillId="2" borderId="0" xfId="0" applyNumberFormat="1" applyFill="1"/>
    <xf numFmtId="0" fontId="0" fillId="2" borderId="0" xfId="0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164" fontId="4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0" fontId="4" fillId="0" borderId="0" xfId="0" applyFont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165" fontId="2" fillId="2" borderId="0" xfId="0" applyNumberFormat="1" applyFont="1" applyFill="1"/>
    <xf numFmtId="164" fontId="1" fillId="0" borderId="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0" fontId="7" fillId="0" borderId="0" xfId="0" applyFont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165" fontId="3" fillId="0" borderId="1" xfId="0" applyNumberFormat="1" applyFont="1" applyBorder="1"/>
    <xf numFmtId="0" fontId="1" fillId="0" borderId="1" xfId="0" applyFont="1" applyBorder="1"/>
    <xf numFmtId="165" fontId="1" fillId="0" borderId="1" xfId="0" applyNumberFormat="1" applyFont="1" applyBorder="1"/>
    <xf numFmtId="165" fontId="3" fillId="0" borderId="0" xfId="0" applyNumberFormat="1" applyFont="1"/>
    <xf numFmtId="0" fontId="1" fillId="0" borderId="1" xfId="0" applyFont="1" applyBorder="1" applyAlignment="1">
      <alignment horizontal="center" wrapText="1"/>
    </xf>
    <xf numFmtId="164" fontId="6" fillId="0" borderId="0" xfId="0" applyNumberFormat="1" applyFont="1" applyAlignment="1">
      <alignment wrapText="1"/>
    </xf>
    <xf numFmtId="0" fontId="1" fillId="0" borderId="1" xfId="0" applyFont="1" applyBorder="1" applyAlignment="1">
      <alignment wrapText="1"/>
    </xf>
    <xf numFmtId="0" fontId="8" fillId="0" borderId="0" xfId="0" applyFont="1"/>
    <xf numFmtId="0" fontId="4" fillId="0" borderId="0" xfId="0" applyFont="1" applyAlignment="1">
      <alignment horizontal="center"/>
    </xf>
    <xf numFmtId="165" fontId="7" fillId="0" borderId="0" xfId="0" applyNumberFormat="1" applyFont="1" applyAlignment="1">
      <alignment horizontal="right" vertical="top" wrapText="1"/>
    </xf>
    <xf numFmtId="0" fontId="9" fillId="0" borderId="0" xfId="0" applyFont="1"/>
    <xf numFmtId="165" fontId="9" fillId="0" borderId="0" xfId="0" applyNumberFormat="1" applyFont="1"/>
    <xf numFmtId="0" fontId="7" fillId="2" borderId="0" xfId="0" applyFont="1" applyFill="1" applyAlignment="1">
      <alignment horizontal="left" vertical="top" wrapText="1"/>
    </xf>
    <xf numFmtId="0" fontId="0" fillId="2" borderId="0" xfId="0" quotePrefix="1" applyFill="1"/>
    <xf numFmtId="4" fontId="1" fillId="0" borderId="0" xfId="0" applyNumberFormat="1" applyFont="1"/>
    <xf numFmtId="164" fontId="8" fillId="0" borderId="0" xfId="0" applyNumberFormat="1" applyFont="1"/>
    <xf numFmtId="0" fontId="0" fillId="4" borderId="0" xfId="0" applyFill="1"/>
    <xf numFmtId="165" fontId="0" fillId="4" borderId="0" xfId="0" applyNumberFormat="1" applyFill="1"/>
    <xf numFmtId="0" fontId="0" fillId="0" borderId="0" xfId="0" applyAlignment="1"/>
    <xf numFmtId="0" fontId="1" fillId="0" borderId="0" xfId="0" applyFont="1" applyAlignment="1"/>
    <xf numFmtId="164" fontId="1" fillId="0" borderId="0" xfId="0" applyNumberFormat="1" applyFont="1" applyAlignment="1"/>
    <xf numFmtId="164" fontId="8" fillId="0" borderId="0" xfId="0" applyNumberFormat="1" applyFont="1" applyAlignment="1"/>
    <xf numFmtId="164" fontId="0" fillId="0" borderId="0" xfId="0" applyNumberFormat="1" applyAlignment="1"/>
    <xf numFmtId="164" fontId="4" fillId="0" borderId="0" xfId="0" applyNumberFormat="1" applyFont="1" applyAlignment="1"/>
    <xf numFmtId="165" fontId="0" fillId="0" borderId="0" xfId="0" applyNumberFormat="1" applyAlignment="1"/>
    <xf numFmtId="4" fontId="0" fillId="0" borderId="0" xfId="0" applyNumberFormat="1" applyAlignment="1"/>
    <xf numFmtId="0" fontId="0" fillId="0" borderId="0" xfId="0" applyFill="1" applyAlignment="1">
      <alignment horizontal="center"/>
    </xf>
    <xf numFmtId="165" fontId="0" fillId="0" borderId="0" xfId="0" applyNumberFormat="1" applyFill="1"/>
    <xf numFmtId="0" fontId="1" fillId="0" borderId="0" xfId="0" applyFont="1" applyFill="1"/>
    <xf numFmtId="0" fontId="0" fillId="0" borderId="0" xfId="0" applyFill="1"/>
    <xf numFmtId="0" fontId="0" fillId="0" borderId="0" xfId="0" applyFill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1CAF-FE31-4509-9D31-ED3085A3FE35}">
  <dimension ref="A2:J43"/>
  <sheetViews>
    <sheetView topLeftCell="A17" zoomScale="148" zoomScaleNormal="148" workbookViewId="0">
      <selection activeCell="B23" sqref="B23:E39"/>
    </sheetView>
  </sheetViews>
  <sheetFormatPr defaultRowHeight="15" x14ac:dyDescent="0.25"/>
  <cols>
    <col min="2" max="2" width="35.28515625" bestFit="1" customWidth="1"/>
    <col min="3" max="4" width="12.85546875" bestFit="1" customWidth="1"/>
    <col min="5" max="5" width="13.42578125" bestFit="1" customWidth="1"/>
    <col min="7" max="7" width="10.5703125" bestFit="1" customWidth="1"/>
  </cols>
  <sheetData>
    <row r="2" spans="1:10" x14ac:dyDescent="0.25">
      <c r="A2" s="6"/>
      <c r="B2" s="61" t="s">
        <v>21</v>
      </c>
      <c r="C2" s="62">
        <v>2025</v>
      </c>
      <c r="D2" s="62">
        <v>2024</v>
      </c>
      <c r="E2" s="62" t="s">
        <v>0</v>
      </c>
      <c r="F2" s="6"/>
      <c r="G2" s="6"/>
    </row>
    <row r="3" spans="1:10" x14ac:dyDescent="0.25">
      <c r="A3" s="6"/>
      <c r="B3" s="39" t="s">
        <v>3</v>
      </c>
      <c r="C3" s="63">
        <f>201022.54+69442.88</f>
        <v>270465.42000000004</v>
      </c>
      <c r="D3" s="63">
        <v>56127.31</v>
      </c>
      <c r="E3" s="6" t="s">
        <v>15</v>
      </c>
      <c r="F3" s="6"/>
      <c r="G3" s="6"/>
    </row>
    <row r="4" spans="1:10" x14ac:dyDescent="0.25">
      <c r="A4" s="6"/>
      <c r="B4" s="39" t="s">
        <v>1</v>
      </c>
      <c r="C4" s="63">
        <f>SUM(C5:C8)</f>
        <v>221886.72</v>
      </c>
      <c r="D4" s="63">
        <f>SUM(D5:D8)</f>
        <v>172158.41</v>
      </c>
      <c r="E4" s="6"/>
      <c r="F4" s="6"/>
      <c r="G4" s="6"/>
    </row>
    <row r="5" spans="1:10" x14ac:dyDescent="0.25">
      <c r="A5" s="6"/>
      <c r="B5" s="41" t="s">
        <v>4</v>
      </c>
      <c r="C5" s="64">
        <v>152975.39000000001</v>
      </c>
      <c r="D5" s="64">
        <v>155871.43</v>
      </c>
      <c r="E5" s="6" t="s">
        <v>2</v>
      </c>
      <c r="F5" s="6"/>
      <c r="G5" s="6"/>
    </row>
    <row r="6" spans="1:10" ht="26.25" customHeight="1" x14ac:dyDescent="0.25">
      <c r="A6" s="6"/>
      <c r="B6" s="65" t="s">
        <v>6</v>
      </c>
      <c r="C6" s="64">
        <v>40766</v>
      </c>
      <c r="D6" s="64">
        <v>7360</v>
      </c>
      <c r="E6" s="6" t="s">
        <v>5</v>
      </c>
      <c r="F6" s="6"/>
      <c r="G6" s="6" t="s">
        <v>78</v>
      </c>
    </row>
    <row r="7" spans="1:10" x14ac:dyDescent="0.25">
      <c r="A7" s="6"/>
      <c r="B7" s="65" t="s">
        <v>8</v>
      </c>
      <c r="C7" s="64">
        <v>12614.08</v>
      </c>
      <c r="D7" s="64">
        <v>8926.98</v>
      </c>
      <c r="E7" s="6" t="s">
        <v>7</v>
      </c>
      <c r="F7" s="6"/>
      <c r="G7" s="6"/>
      <c r="J7" s="1"/>
    </row>
    <row r="8" spans="1:10" ht="30" x14ac:dyDescent="0.25">
      <c r="A8" s="6"/>
      <c r="B8" s="65" t="s">
        <v>11</v>
      </c>
      <c r="C8" s="64">
        <v>15531.25</v>
      </c>
      <c r="D8" s="64"/>
      <c r="E8" s="6" t="s">
        <v>10</v>
      </c>
      <c r="F8" s="6"/>
      <c r="G8" s="40">
        <v>201022.54</v>
      </c>
    </row>
    <row r="9" spans="1:10" x14ac:dyDescent="0.25">
      <c r="A9" s="6"/>
      <c r="B9" s="39" t="s">
        <v>12</v>
      </c>
      <c r="C9" s="63">
        <f>C10+C11</f>
        <v>-973.67</v>
      </c>
      <c r="D9" s="64"/>
      <c r="E9" s="6"/>
      <c r="F9" s="6"/>
      <c r="G9" s="40">
        <v>69442.880000000005</v>
      </c>
    </row>
    <row r="10" spans="1:10" ht="30" x14ac:dyDescent="0.25">
      <c r="A10" s="6"/>
      <c r="B10" s="65" t="s">
        <v>14</v>
      </c>
      <c r="C10" s="64">
        <f>-743.15</f>
        <v>-743.15</v>
      </c>
      <c r="D10" s="64"/>
      <c r="E10" s="6" t="s">
        <v>13</v>
      </c>
      <c r="F10" s="6"/>
      <c r="G10" s="40">
        <v>15531.25</v>
      </c>
    </row>
    <row r="11" spans="1:10" ht="30" x14ac:dyDescent="0.25">
      <c r="A11" s="6"/>
      <c r="B11" s="65" t="s">
        <v>16</v>
      </c>
      <c r="C11" s="64">
        <f>-230.52</f>
        <v>-230.52</v>
      </c>
      <c r="D11" s="64"/>
      <c r="E11" s="6"/>
      <c r="F11" s="6"/>
      <c r="G11" s="6">
        <v>-743.15</v>
      </c>
    </row>
    <row r="12" spans="1:10" x14ac:dyDescent="0.25">
      <c r="A12" s="6"/>
      <c r="B12" s="66" t="s">
        <v>56</v>
      </c>
      <c r="C12" s="63">
        <f>C3+C4+C9</f>
        <v>491378.47000000003</v>
      </c>
      <c r="D12" s="63">
        <f>D3+D4+D9</f>
        <v>228285.72</v>
      </c>
      <c r="E12" s="6"/>
      <c r="F12" s="6"/>
      <c r="G12" s="40">
        <f>SUM(G8:G11)</f>
        <v>285253.52</v>
      </c>
    </row>
    <row r="13" spans="1:10" x14ac:dyDescent="0.25">
      <c r="A13" s="6"/>
      <c r="B13" s="39" t="s">
        <v>57</v>
      </c>
      <c r="C13" s="64">
        <v>64704.91</v>
      </c>
      <c r="D13" s="64">
        <v>62433.75</v>
      </c>
      <c r="E13" s="6" t="s">
        <v>58</v>
      </c>
      <c r="F13" s="6"/>
      <c r="G13" s="40">
        <v>-69442.880000000005</v>
      </c>
    </row>
    <row r="14" spans="1:10" ht="30" x14ac:dyDescent="0.25">
      <c r="A14" s="6"/>
      <c r="B14" s="66" t="s">
        <v>18</v>
      </c>
      <c r="C14" s="64">
        <f>C12+C13</f>
        <v>556083.38</v>
      </c>
      <c r="D14" s="64">
        <f>D12+D13</f>
        <v>290719.46999999997</v>
      </c>
      <c r="E14" s="6"/>
      <c r="F14" s="6"/>
      <c r="G14" s="40">
        <v>-15531.25</v>
      </c>
    </row>
    <row r="15" spans="1:10" x14ac:dyDescent="0.25">
      <c r="A15" s="6"/>
      <c r="B15" s="65" t="s">
        <v>20</v>
      </c>
      <c r="C15" s="64">
        <v>69442.880000000005</v>
      </c>
      <c r="D15" s="64">
        <v>17837.650000000001</v>
      </c>
      <c r="E15" s="6"/>
      <c r="F15" s="6"/>
      <c r="G15" s="6">
        <v>743.15</v>
      </c>
    </row>
    <row r="16" spans="1:10" x14ac:dyDescent="0.25">
      <c r="A16" s="6"/>
      <c r="B16" s="39" t="s">
        <v>19</v>
      </c>
      <c r="C16" s="63">
        <f>C14-C15</f>
        <v>486640.5</v>
      </c>
      <c r="D16" s="63">
        <f>D14-D15</f>
        <v>272881.81999999995</v>
      </c>
      <c r="E16" s="6"/>
      <c r="F16" s="6"/>
      <c r="G16" s="40">
        <f>SUM(G12:G15)</f>
        <v>201022.54</v>
      </c>
    </row>
    <row r="17" spans="2:7" x14ac:dyDescent="0.25">
      <c r="C17" s="8"/>
    </row>
    <row r="18" spans="2:7" x14ac:dyDescent="0.25">
      <c r="C18" s="8"/>
      <c r="E18" s="7"/>
    </row>
    <row r="19" spans="2:7" x14ac:dyDescent="0.25">
      <c r="B19" s="6" t="s">
        <v>17</v>
      </c>
      <c r="E19" s="8"/>
    </row>
    <row r="20" spans="2:7" x14ac:dyDescent="0.25">
      <c r="B20" t="s">
        <v>9</v>
      </c>
      <c r="E20" s="8"/>
    </row>
    <row r="23" spans="2:7" x14ac:dyDescent="0.25">
      <c r="B23" s="12" t="s">
        <v>21</v>
      </c>
      <c r="C23" s="5">
        <v>2025</v>
      </c>
      <c r="D23" s="5">
        <v>2024</v>
      </c>
      <c r="E23" s="5" t="s">
        <v>0</v>
      </c>
    </row>
    <row r="24" spans="2:7" x14ac:dyDescent="0.25">
      <c r="B24" s="1" t="s">
        <v>3</v>
      </c>
      <c r="C24" s="9">
        <v>285253.52</v>
      </c>
      <c r="D24" s="9">
        <v>56127.31</v>
      </c>
      <c r="E24" t="s">
        <v>110</v>
      </c>
    </row>
    <row r="25" spans="2:7" x14ac:dyDescent="0.25">
      <c r="B25" s="1" t="s">
        <v>1</v>
      </c>
      <c r="C25" s="22">
        <f>C26+C27+C28+C29+C30</f>
        <v>226533.33</v>
      </c>
      <c r="D25" s="10">
        <f>D26+D27+D28+D29+D30</f>
        <v>172158.41</v>
      </c>
    </row>
    <row r="26" spans="2:7" x14ac:dyDescent="0.25">
      <c r="B26" s="3" t="s">
        <v>4</v>
      </c>
      <c r="C26" s="10">
        <v>152975.39000000001</v>
      </c>
      <c r="D26" s="10">
        <v>155871.43</v>
      </c>
      <c r="E26" t="s">
        <v>2</v>
      </c>
      <c r="G26" t="s">
        <v>104</v>
      </c>
    </row>
    <row r="27" spans="2:7" ht="30" x14ac:dyDescent="0.25">
      <c r="B27" s="4" t="s">
        <v>6</v>
      </c>
      <c r="C27" s="10">
        <v>40766</v>
      </c>
      <c r="D27" s="10">
        <v>7360</v>
      </c>
      <c r="E27" t="s">
        <v>5</v>
      </c>
    </row>
    <row r="28" spans="2:7" x14ac:dyDescent="0.25">
      <c r="B28" s="21" t="s">
        <v>106</v>
      </c>
      <c r="C28" s="22">
        <v>4646.6099999999997</v>
      </c>
      <c r="D28" s="10">
        <v>0</v>
      </c>
      <c r="E28" t="s">
        <v>105</v>
      </c>
    </row>
    <row r="29" spans="2:7" x14ac:dyDescent="0.25">
      <c r="B29" s="4" t="s">
        <v>8</v>
      </c>
      <c r="C29" s="10">
        <v>12614.08</v>
      </c>
      <c r="D29" s="10">
        <v>8926.98</v>
      </c>
      <c r="E29" t="s">
        <v>7</v>
      </c>
    </row>
    <row r="30" spans="2:7" ht="30" x14ac:dyDescent="0.25">
      <c r="B30" s="4" t="s">
        <v>11</v>
      </c>
      <c r="C30" s="10">
        <v>15531.25</v>
      </c>
      <c r="D30" s="10"/>
      <c r="E30" t="s">
        <v>10</v>
      </c>
    </row>
    <row r="31" spans="2:7" x14ac:dyDescent="0.25">
      <c r="B31" s="1" t="s">
        <v>12</v>
      </c>
      <c r="C31" s="9">
        <f>C32+C33</f>
        <v>-973.67</v>
      </c>
      <c r="D31" s="9">
        <f>D32+D33</f>
        <v>0</v>
      </c>
    </row>
    <row r="32" spans="2:7" ht="30" x14ac:dyDescent="0.25">
      <c r="B32" s="4" t="s">
        <v>14</v>
      </c>
      <c r="C32" s="10">
        <f>-743.15</f>
        <v>-743.15</v>
      </c>
      <c r="D32" s="10"/>
      <c r="E32" t="s">
        <v>13</v>
      </c>
    </row>
    <row r="33" spans="2:5" ht="30" x14ac:dyDescent="0.25">
      <c r="B33" s="4" t="s">
        <v>16</v>
      </c>
      <c r="C33" s="10">
        <f>-230.52</f>
        <v>-230.52</v>
      </c>
      <c r="D33" s="10"/>
    </row>
    <row r="34" spans="2:5" ht="30" x14ac:dyDescent="0.25">
      <c r="B34" s="11" t="s">
        <v>108</v>
      </c>
      <c r="C34" s="9">
        <f>C24+C25+C31</f>
        <v>510813.18</v>
      </c>
      <c r="D34" s="9">
        <f>D24+D25+D31</f>
        <v>228285.72</v>
      </c>
    </row>
    <row r="35" spans="2:5" x14ac:dyDescent="0.25">
      <c r="B35" s="1" t="s">
        <v>107</v>
      </c>
      <c r="E35" t="s">
        <v>109</v>
      </c>
    </row>
    <row r="36" spans="2:5" x14ac:dyDescent="0.25">
      <c r="B36" s="4" t="s">
        <v>20</v>
      </c>
      <c r="C36" s="10">
        <v>69442.880000000005</v>
      </c>
      <c r="D36" s="10">
        <v>17837.650000000001</v>
      </c>
    </row>
    <row r="37" spans="2:5" x14ac:dyDescent="0.25">
      <c r="B37" s="11" t="s">
        <v>56</v>
      </c>
      <c r="C37" s="9">
        <f>C34-C36</f>
        <v>441370.3</v>
      </c>
      <c r="D37" s="9">
        <f>D34-D36</f>
        <v>210448.07</v>
      </c>
    </row>
    <row r="38" spans="2:5" x14ac:dyDescent="0.25">
      <c r="B38" s="1" t="s">
        <v>57</v>
      </c>
      <c r="C38" s="10">
        <v>64704.91</v>
      </c>
      <c r="D38" s="10">
        <v>62433.75</v>
      </c>
      <c r="E38" t="s">
        <v>58</v>
      </c>
    </row>
    <row r="39" spans="2:5" x14ac:dyDescent="0.25">
      <c r="B39" s="1" t="s">
        <v>19</v>
      </c>
      <c r="C39" s="9">
        <f>C37+C38</f>
        <v>506075.20999999996</v>
      </c>
      <c r="D39" s="9">
        <f>D37+D38</f>
        <v>272881.82</v>
      </c>
    </row>
    <row r="43" spans="2:5" x14ac:dyDescent="0.25">
      <c r="C43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B2A5-E09A-4EFA-8BF5-09E236A0C6B7}">
  <dimension ref="A1:Q52"/>
  <sheetViews>
    <sheetView topLeftCell="A5" zoomScale="160" zoomScaleNormal="160" workbookViewId="0">
      <selection activeCell="B31" sqref="B31"/>
    </sheetView>
  </sheetViews>
  <sheetFormatPr defaultRowHeight="15" x14ac:dyDescent="0.25"/>
  <cols>
    <col min="1" max="1" width="32.140625" customWidth="1"/>
    <col min="2" max="2" width="12.7109375" bestFit="1" customWidth="1"/>
    <col min="3" max="3" width="6.85546875" bestFit="1" customWidth="1"/>
    <col min="4" max="4" width="7.7109375" bestFit="1" customWidth="1"/>
    <col min="5" max="6" width="10.5703125" bestFit="1" customWidth="1"/>
    <col min="8" max="8" width="10.5703125" bestFit="1" customWidth="1"/>
    <col min="13" max="13" width="12" bestFit="1" customWidth="1"/>
  </cols>
  <sheetData>
    <row r="1" spans="1:17" x14ac:dyDescent="0.25">
      <c r="A1" s="75" t="s">
        <v>22</v>
      </c>
      <c r="B1" s="75" t="s">
        <v>23</v>
      </c>
      <c r="C1" s="75" t="s">
        <v>24</v>
      </c>
      <c r="D1" s="75" t="s">
        <v>25</v>
      </c>
      <c r="E1" s="6">
        <v>2025</v>
      </c>
      <c r="F1" s="6">
        <v>2024</v>
      </c>
    </row>
    <row r="2" spans="1:17" x14ac:dyDescent="0.25">
      <c r="A2" s="75" t="s">
        <v>26</v>
      </c>
      <c r="B2" s="63">
        <f>Pot!C16</f>
        <v>486640.5</v>
      </c>
      <c r="C2" s="75"/>
      <c r="D2" s="75"/>
      <c r="E2" s="6"/>
      <c r="F2" s="6"/>
    </row>
    <row r="3" spans="1:17" ht="30" x14ac:dyDescent="0.25">
      <c r="A3" s="76" t="s">
        <v>27</v>
      </c>
      <c r="B3" s="77">
        <f>B4+B5+B6</f>
        <v>-33188.21</v>
      </c>
      <c r="C3" s="75"/>
      <c r="D3" s="75"/>
      <c r="E3" s="6"/>
      <c r="F3" s="6"/>
    </row>
    <row r="4" spans="1:17" x14ac:dyDescent="0.25">
      <c r="A4" s="6" t="s">
        <v>28</v>
      </c>
      <c r="B4" s="20">
        <f>-(E4-F4)</f>
        <v>10904.419999999998</v>
      </c>
      <c r="C4" s="6" t="s">
        <v>29</v>
      </c>
      <c r="D4" s="6" t="s">
        <v>30</v>
      </c>
      <c r="E4" s="6">
        <v>36661.58</v>
      </c>
      <c r="F4" s="6">
        <v>47566</v>
      </c>
      <c r="H4" t="s">
        <v>40</v>
      </c>
    </row>
    <row r="5" spans="1:17" x14ac:dyDescent="0.25">
      <c r="A5" s="6" t="s">
        <v>28</v>
      </c>
      <c r="B5" s="20">
        <f>-(E5-F5)</f>
        <v>-37523.25</v>
      </c>
      <c r="C5" s="6" t="s">
        <v>31</v>
      </c>
      <c r="D5" s="6" t="s">
        <v>30</v>
      </c>
      <c r="E5" s="6">
        <f>407047.76+131.61</f>
        <v>407179.37</v>
      </c>
      <c r="F5" s="6">
        <v>369656.12</v>
      </c>
    </row>
    <row r="6" spans="1:17" x14ac:dyDescent="0.25">
      <c r="A6" s="6" t="s">
        <v>28</v>
      </c>
      <c r="B6" s="20">
        <f>-(E6-F6)</f>
        <v>-6569.38</v>
      </c>
      <c r="C6" s="6" t="s">
        <v>32</v>
      </c>
      <c r="D6" s="6" t="s">
        <v>30</v>
      </c>
      <c r="E6" s="6">
        <v>6569.38</v>
      </c>
      <c r="F6" s="6">
        <v>0</v>
      </c>
    </row>
    <row r="7" spans="1:17" ht="30" x14ac:dyDescent="0.25">
      <c r="A7" s="76" t="s">
        <v>33</v>
      </c>
      <c r="B7" s="77">
        <f>B8+B9+B11+B10+B12</f>
        <v>140716.33999999997</v>
      </c>
      <c r="C7" s="75"/>
      <c r="D7" s="75"/>
      <c r="E7" s="6"/>
      <c r="F7" s="6"/>
    </row>
    <row r="8" spans="1:17" x14ac:dyDescent="0.25">
      <c r="A8" s="6" t="s">
        <v>28</v>
      </c>
      <c r="B8" s="20">
        <f>E8-F8</f>
        <v>35708.119999999995</v>
      </c>
      <c r="C8" s="6" t="s">
        <v>34</v>
      </c>
      <c r="D8" s="6" t="s">
        <v>30</v>
      </c>
      <c r="E8" s="40">
        <v>172029.55</v>
      </c>
      <c r="F8" s="40">
        <v>136321.43</v>
      </c>
    </row>
    <row r="9" spans="1:17" x14ac:dyDescent="0.25">
      <c r="A9" s="6" t="s">
        <v>28</v>
      </c>
      <c r="B9" s="20">
        <f t="shared" ref="B9:B12" si="0">E9-F9</f>
        <v>-4182.1500000000233</v>
      </c>
      <c r="C9" s="6" t="s">
        <v>35</v>
      </c>
      <c r="D9" s="6" t="s">
        <v>30</v>
      </c>
      <c r="E9" s="40">
        <v>144903.82999999999</v>
      </c>
      <c r="F9" s="40">
        <v>149085.98000000001</v>
      </c>
      <c r="H9" t="s">
        <v>41</v>
      </c>
    </row>
    <row r="10" spans="1:17" x14ac:dyDescent="0.25">
      <c r="A10" s="6" t="s">
        <v>28</v>
      </c>
      <c r="B10" s="20">
        <f>E10-F10</f>
        <v>105949.20999999999</v>
      </c>
      <c r="C10" s="6" t="s">
        <v>37</v>
      </c>
      <c r="D10" s="6" t="s">
        <v>30</v>
      </c>
      <c r="E10" s="40">
        <v>145359.25</v>
      </c>
      <c r="F10" s="40">
        <v>39410.04</v>
      </c>
    </row>
    <row r="11" spans="1:17" x14ac:dyDescent="0.25">
      <c r="A11" s="6" t="s">
        <v>28</v>
      </c>
      <c r="B11" s="20">
        <f>E11-F11</f>
        <v>1000</v>
      </c>
      <c r="C11" s="6" t="s">
        <v>36</v>
      </c>
      <c r="D11" s="6" t="s">
        <v>30</v>
      </c>
      <c r="E11" s="40">
        <v>1000</v>
      </c>
      <c r="F11" s="6">
        <v>0</v>
      </c>
    </row>
    <row r="12" spans="1:17" x14ac:dyDescent="0.25">
      <c r="A12" s="6" t="s">
        <v>28</v>
      </c>
      <c r="B12" s="20">
        <f t="shared" si="0"/>
        <v>2241.16</v>
      </c>
      <c r="C12" s="6" t="s">
        <v>38</v>
      </c>
      <c r="D12" s="6" t="s">
        <v>30</v>
      </c>
      <c r="E12" s="40">
        <v>4490.54</v>
      </c>
      <c r="F12" s="40">
        <v>2249.38</v>
      </c>
    </row>
    <row r="13" spans="1:17" ht="30" x14ac:dyDescent="0.25">
      <c r="A13" s="76" t="s">
        <v>39</v>
      </c>
      <c r="B13" s="77">
        <f>B2+B3+B7</f>
        <v>594168.62999999989</v>
      </c>
      <c r="C13" s="75"/>
      <c r="D13" s="75"/>
      <c r="E13" s="6"/>
      <c r="F13" s="6"/>
      <c r="M13" s="17"/>
    </row>
    <row r="14" spans="1:17" x14ac:dyDescent="0.25">
      <c r="A14" s="6"/>
      <c r="B14" s="20"/>
      <c r="C14" s="6"/>
      <c r="D14" s="6"/>
      <c r="E14" s="6"/>
      <c r="F14" s="6"/>
      <c r="M14" s="6" t="s">
        <v>102</v>
      </c>
      <c r="N14" s="6" t="s">
        <v>103</v>
      </c>
      <c r="O14" s="6">
        <v>162734.99</v>
      </c>
      <c r="P14" s="6">
        <v>4665.03</v>
      </c>
      <c r="Q14" s="6">
        <f>O14-P14</f>
        <v>158069.96</v>
      </c>
    </row>
    <row r="15" spans="1:17" x14ac:dyDescent="0.25">
      <c r="A15" s="6"/>
      <c r="B15" s="6"/>
      <c r="C15" s="6"/>
      <c r="D15" s="6"/>
      <c r="E15" s="6"/>
      <c r="F15" s="6"/>
    </row>
    <row r="16" spans="1:17" ht="30" x14ac:dyDescent="0.25">
      <c r="A16" s="76" t="s">
        <v>27</v>
      </c>
      <c r="B16" s="77">
        <f>B3</f>
        <v>-33188.21</v>
      </c>
      <c r="C16" s="6"/>
      <c r="D16" s="6"/>
      <c r="E16" s="6"/>
      <c r="F16" s="6"/>
    </row>
    <row r="17" spans="1:6" ht="30" x14ac:dyDescent="0.25">
      <c r="A17" s="76" t="s">
        <v>33</v>
      </c>
      <c r="B17" s="20">
        <f>B7</f>
        <v>140716.33999999997</v>
      </c>
      <c r="C17" s="6"/>
      <c r="D17" s="6"/>
      <c r="E17" s="6"/>
      <c r="F17" s="6"/>
    </row>
    <row r="18" spans="1:6" x14ac:dyDescent="0.25">
      <c r="A18" s="6"/>
      <c r="B18" s="20">
        <f>SUM(B16:B17)</f>
        <v>107528.12999999998</v>
      </c>
      <c r="C18" s="6"/>
      <c r="D18" s="6"/>
      <c r="E18" s="6"/>
      <c r="F18" s="6"/>
    </row>
    <row r="23" spans="1:6" x14ac:dyDescent="0.25">
      <c r="A23" s="13" t="s">
        <v>22</v>
      </c>
      <c r="B23" s="13" t="s">
        <v>23</v>
      </c>
      <c r="C23" s="13" t="s">
        <v>24</v>
      </c>
      <c r="D23" s="13" t="s">
        <v>25</v>
      </c>
      <c r="E23">
        <v>2025</v>
      </c>
      <c r="F23">
        <v>2024</v>
      </c>
    </row>
    <row r="24" spans="1:6" x14ac:dyDescent="0.25">
      <c r="A24" s="13" t="s">
        <v>26</v>
      </c>
      <c r="B24" s="9">
        <f>Pot!C39</f>
        <v>506075.20999999996</v>
      </c>
      <c r="C24" s="13"/>
      <c r="D24" s="13"/>
    </row>
    <row r="25" spans="1:6" ht="30" x14ac:dyDescent="0.25">
      <c r="A25" s="14" t="s">
        <v>119</v>
      </c>
      <c r="B25" s="23">
        <f>B26+B27+B28</f>
        <v>-33188.21</v>
      </c>
      <c r="C25" s="24"/>
      <c r="D25" s="24"/>
      <c r="E25" s="25"/>
      <c r="F25" s="25"/>
    </row>
    <row r="26" spans="1:6" x14ac:dyDescent="0.25">
      <c r="A26" t="s">
        <v>28</v>
      </c>
      <c r="B26" s="28">
        <f>-(E26-F26)</f>
        <v>10904.419999999998</v>
      </c>
      <c r="C26" s="29" t="s">
        <v>29</v>
      </c>
      <c r="D26" s="29" t="s">
        <v>30</v>
      </c>
      <c r="E26" s="29">
        <v>36661.58</v>
      </c>
      <c r="F26" s="29">
        <v>47566</v>
      </c>
    </row>
    <row r="27" spans="1:6" x14ac:dyDescent="0.25">
      <c r="A27" t="s">
        <v>28</v>
      </c>
      <c r="B27" s="28">
        <f>-(E27-F27)</f>
        <v>-37523.25</v>
      </c>
      <c r="C27" s="29" t="s">
        <v>31</v>
      </c>
      <c r="D27" s="29" t="s">
        <v>30</v>
      </c>
      <c r="E27" s="29">
        <f>407047.76+131.61</f>
        <v>407179.37</v>
      </c>
      <c r="F27" s="29">
        <v>369656.12</v>
      </c>
    </row>
    <row r="28" spans="1:6" x14ac:dyDescent="0.25">
      <c r="A28" t="s">
        <v>28</v>
      </c>
      <c r="B28" s="28">
        <f>-(E28-F28)</f>
        <v>-6569.38</v>
      </c>
      <c r="C28" s="29" t="s">
        <v>32</v>
      </c>
      <c r="D28" s="29" t="s">
        <v>30</v>
      </c>
      <c r="E28" s="29">
        <v>6569.38</v>
      </c>
      <c r="F28" s="29">
        <v>0</v>
      </c>
    </row>
    <row r="29" spans="1:6" x14ac:dyDescent="0.25">
      <c r="A29" s="34" t="s">
        <v>112</v>
      </c>
      <c r="B29" s="23">
        <f>B30+B31+B32+B33+B34</f>
        <v>172399.86</v>
      </c>
      <c r="C29" s="24"/>
      <c r="D29" s="24"/>
      <c r="E29" s="25"/>
      <c r="F29" s="25"/>
    </row>
    <row r="30" spans="1:6" x14ac:dyDescent="0.25">
      <c r="A30" s="29" t="s">
        <v>28</v>
      </c>
      <c r="B30" s="28">
        <f t="shared" ref="B30:B35" si="1">E30-F30</f>
        <v>-4182.1500000000233</v>
      </c>
      <c r="C30" s="29" t="s">
        <v>35</v>
      </c>
      <c r="D30" s="29" t="s">
        <v>30</v>
      </c>
      <c r="E30" s="30">
        <v>144903.82999999999</v>
      </c>
      <c r="F30" s="30">
        <v>149085.98000000001</v>
      </c>
    </row>
    <row r="31" spans="1:6" x14ac:dyDescent="0.25">
      <c r="A31" s="29" t="s">
        <v>28</v>
      </c>
      <c r="B31" s="28">
        <f t="shared" si="1"/>
        <v>8700</v>
      </c>
      <c r="C31" s="29" t="s">
        <v>111</v>
      </c>
      <c r="D31" s="29" t="s">
        <v>30</v>
      </c>
      <c r="E31" s="30">
        <v>13524.62</v>
      </c>
      <c r="F31" s="30">
        <v>4824.62</v>
      </c>
    </row>
    <row r="32" spans="1:6" x14ac:dyDescent="0.25">
      <c r="A32" s="29" t="s">
        <v>28</v>
      </c>
      <c r="B32" s="28">
        <f t="shared" si="1"/>
        <v>97249.21</v>
      </c>
      <c r="C32" s="29" t="s">
        <v>113</v>
      </c>
      <c r="D32" s="29" t="s">
        <v>30</v>
      </c>
      <c r="E32" s="30">
        <v>131834.63</v>
      </c>
      <c r="F32" s="30">
        <v>34585.42</v>
      </c>
    </row>
    <row r="33" spans="1:7" x14ac:dyDescent="0.25">
      <c r="A33" s="29" t="s">
        <v>28</v>
      </c>
      <c r="B33" s="28">
        <f t="shared" si="1"/>
        <v>1000</v>
      </c>
      <c r="C33" s="29" t="s">
        <v>36</v>
      </c>
      <c r="D33" s="29" t="s">
        <v>30</v>
      </c>
      <c r="E33" s="30">
        <v>1000</v>
      </c>
      <c r="F33" s="29">
        <v>0</v>
      </c>
    </row>
    <row r="34" spans="1:7" x14ac:dyDescent="0.25">
      <c r="A34" s="32" t="s">
        <v>28</v>
      </c>
      <c r="B34" s="31">
        <f t="shared" si="1"/>
        <v>69632.800000000003</v>
      </c>
      <c r="C34" s="32" t="s">
        <v>114</v>
      </c>
      <c r="D34" s="32" t="s">
        <v>30</v>
      </c>
      <c r="E34" s="33">
        <v>69632.800000000003</v>
      </c>
      <c r="F34" s="33">
        <v>0</v>
      </c>
      <c r="G34" s="35" t="s">
        <v>115</v>
      </c>
    </row>
    <row r="35" spans="1:7" x14ac:dyDescent="0.25">
      <c r="A35" t="s">
        <v>28</v>
      </c>
      <c r="B35" s="28">
        <f t="shared" si="1"/>
        <v>2241.16</v>
      </c>
      <c r="C35" s="25" t="s">
        <v>38</v>
      </c>
      <c r="D35" s="25" t="s">
        <v>30</v>
      </c>
      <c r="E35" s="27">
        <v>4490.54</v>
      </c>
      <c r="F35" s="27">
        <v>2249.38</v>
      </c>
    </row>
    <row r="36" spans="1:7" x14ac:dyDescent="0.25">
      <c r="A36" s="29" t="s">
        <v>82</v>
      </c>
      <c r="C36" s="24"/>
      <c r="D36" s="24"/>
      <c r="E36" s="25"/>
      <c r="F36" s="25"/>
    </row>
    <row r="37" spans="1:7" ht="30" x14ac:dyDescent="0.25">
      <c r="A37" s="4" t="s">
        <v>6</v>
      </c>
      <c r="B37" s="10">
        <v>-40766</v>
      </c>
      <c r="E37" s="10">
        <v>7360</v>
      </c>
      <c r="F37" t="s">
        <v>5</v>
      </c>
    </row>
    <row r="38" spans="1:7" ht="30" x14ac:dyDescent="0.25">
      <c r="A38" s="14" t="s">
        <v>39</v>
      </c>
      <c r="B38" s="23">
        <f>B24+B25+B29</f>
        <v>645286.85999999987</v>
      </c>
    </row>
    <row r="50" spans="1:2" ht="30" x14ac:dyDescent="0.25">
      <c r="A50" s="14" t="s">
        <v>27</v>
      </c>
      <c r="B50" s="16">
        <f>B25</f>
        <v>-33188.21</v>
      </c>
    </row>
    <row r="51" spans="1:2" ht="30" x14ac:dyDescent="0.25">
      <c r="A51" s="14" t="s">
        <v>33</v>
      </c>
      <c r="B51" s="19">
        <f>B29</f>
        <v>172399.86</v>
      </c>
    </row>
    <row r="52" spans="1:2" x14ac:dyDescent="0.25">
      <c r="A52" s="34" t="s">
        <v>116</v>
      </c>
      <c r="B52" s="17">
        <f>SUM(B50:B51)</f>
        <v>139211.65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BB0E-F47F-406A-8398-FD5A10A4D7A7}">
  <dimension ref="A1:F22"/>
  <sheetViews>
    <sheetView zoomScale="118" zoomScaleNormal="118" workbookViewId="0">
      <selection activeCell="B7" sqref="B7"/>
    </sheetView>
  </sheetViews>
  <sheetFormatPr defaultRowHeight="15" x14ac:dyDescent="0.25"/>
  <cols>
    <col min="1" max="1" width="35" customWidth="1"/>
    <col min="2" max="2" width="18.42578125" customWidth="1"/>
    <col min="3" max="3" width="13" customWidth="1"/>
    <col min="4" max="4" width="26.7109375" customWidth="1"/>
    <col min="5" max="6" width="12.28515625" bestFit="1" customWidth="1"/>
  </cols>
  <sheetData>
    <row r="1" spans="1:6" x14ac:dyDescent="0.25">
      <c r="A1" s="15" t="s">
        <v>55</v>
      </c>
    </row>
    <row r="2" spans="1:6" x14ac:dyDescent="0.25">
      <c r="A2" s="13" t="s">
        <v>49</v>
      </c>
      <c r="B2" s="13" t="s">
        <v>23</v>
      </c>
      <c r="C2" s="13" t="s">
        <v>24</v>
      </c>
      <c r="D2" s="13" t="s">
        <v>48</v>
      </c>
      <c r="E2">
        <v>2025</v>
      </c>
      <c r="F2">
        <v>2024</v>
      </c>
    </row>
    <row r="3" spans="1:6" x14ac:dyDescent="0.25">
      <c r="A3" t="s">
        <v>50</v>
      </c>
      <c r="B3" s="17">
        <f>(E3-F3)</f>
        <v>48133.52</v>
      </c>
      <c r="C3" t="s">
        <v>51</v>
      </c>
      <c r="D3" t="s">
        <v>45</v>
      </c>
      <c r="E3" s="2">
        <v>48133.52</v>
      </c>
      <c r="F3">
        <v>0</v>
      </c>
    </row>
    <row r="4" spans="1:6" x14ac:dyDescent="0.25">
      <c r="A4" t="s">
        <v>47</v>
      </c>
      <c r="B4" s="17">
        <f>E4-F4</f>
        <v>350939.58999999985</v>
      </c>
      <c r="C4" t="s">
        <v>46</v>
      </c>
      <c r="D4" t="s">
        <v>45</v>
      </c>
      <c r="E4" s="2">
        <v>1600763.4</v>
      </c>
      <c r="F4" s="2">
        <v>1249823.81</v>
      </c>
    </row>
    <row r="5" spans="1:6" x14ac:dyDescent="0.25">
      <c r="A5" t="s">
        <v>54</v>
      </c>
      <c r="B5" s="17">
        <v>-151310.91</v>
      </c>
      <c r="C5" t="s">
        <v>52</v>
      </c>
      <c r="D5" t="s">
        <v>44</v>
      </c>
    </row>
    <row r="6" spans="1:6" x14ac:dyDescent="0.25">
      <c r="A6" t="s">
        <v>53</v>
      </c>
      <c r="B6" s="17">
        <v>-1664.48</v>
      </c>
      <c r="C6" t="s">
        <v>43</v>
      </c>
      <c r="D6" t="s">
        <v>44</v>
      </c>
    </row>
    <row r="7" spans="1:6" x14ac:dyDescent="0.25">
      <c r="A7" s="1" t="s">
        <v>42</v>
      </c>
      <c r="B7" s="19">
        <f ca="1">SUM(B3:B7)</f>
        <v>246097.71999999983</v>
      </c>
    </row>
    <row r="9" spans="1:6" x14ac:dyDescent="0.25">
      <c r="B9" s="2"/>
    </row>
    <row r="11" spans="1:6" x14ac:dyDescent="0.25">
      <c r="A11" s="15" t="s">
        <v>55</v>
      </c>
    </row>
    <row r="12" spans="1:6" x14ac:dyDescent="0.25">
      <c r="A12" s="13" t="s">
        <v>49</v>
      </c>
      <c r="B12" s="13" t="s">
        <v>23</v>
      </c>
      <c r="C12" s="13" t="s">
        <v>24</v>
      </c>
      <c r="D12" s="13" t="s">
        <v>48</v>
      </c>
      <c r="E12">
        <v>2025</v>
      </c>
      <c r="F12">
        <v>2024</v>
      </c>
    </row>
    <row r="13" spans="1:6" x14ac:dyDescent="0.25">
      <c r="A13" t="s">
        <v>50</v>
      </c>
      <c r="B13" s="17">
        <f>(E13-F13)</f>
        <v>48133.52</v>
      </c>
      <c r="C13" t="s">
        <v>51</v>
      </c>
      <c r="D13" t="s">
        <v>45</v>
      </c>
      <c r="E13" s="2">
        <v>48133.52</v>
      </c>
      <c r="F13">
        <v>0</v>
      </c>
    </row>
    <row r="14" spans="1:6" x14ac:dyDescent="0.25">
      <c r="A14" t="s">
        <v>47</v>
      </c>
      <c r="B14" s="17">
        <f>E14-F14</f>
        <v>350939.58999999985</v>
      </c>
      <c r="C14" t="s">
        <v>46</v>
      </c>
      <c r="D14" t="s">
        <v>45</v>
      </c>
      <c r="E14" s="2">
        <v>1600763.4</v>
      </c>
      <c r="F14" s="2">
        <v>1249823.81</v>
      </c>
    </row>
    <row r="15" spans="1:6" x14ac:dyDescent="0.25">
      <c r="A15" t="s">
        <v>82</v>
      </c>
    </row>
    <row r="16" spans="1:6" x14ac:dyDescent="0.25">
      <c r="A16" t="s">
        <v>54</v>
      </c>
      <c r="B16" s="17">
        <v>-151310.91</v>
      </c>
      <c r="C16" t="s">
        <v>52</v>
      </c>
    </row>
    <row r="17" spans="1:3" x14ac:dyDescent="0.25">
      <c r="A17" t="s">
        <v>53</v>
      </c>
      <c r="B17" s="17">
        <v>-1664.48</v>
      </c>
      <c r="C17" t="s">
        <v>43</v>
      </c>
    </row>
    <row r="18" spans="1:3" ht="30" x14ac:dyDescent="0.25">
      <c r="A18" s="4" t="s">
        <v>6</v>
      </c>
      <c r="B18" s="10">
        <v>-40766</v>
      </c>
      <c r="C18" t="s">
        <v>5</v>
      </c>
    </row>
    <row r="19" spans="1:3" x14ac:dyDescent="0.25">
      <c r="A19" t="s">
        <v>117</v>
      </c>
      <c r="B19" s="2">
        <v>-4646.6099999999997</v>
      </c>
      <c r="C19" t="s">
        <v>118</v>
      </c>
    </row>
    <row r="20" spans="1:3" x14ac:dyDescent="0.25">
      <c r="A20" t="s">
        <v>61</v>
      </c>
      <c r="B20" s="2">
        <v>-180673.33</v>
      </c>
      <c r="C20" t="s">
        <v>65</v>
      </c>
    </row>
    <row r="21" spans="1:3" x14ac:dyDescent="0.25">
      <c r="A21" s="1" t="s">
        <v>42</v>
      </c>
      <c r="B21" s="19">
        <f>SUM(B16:B20)</f>
        <v>-379061.32999999996</v>
      </c>
    </row>
    <row r="22" spans="1:3" x14ac:dyDescent="0.25">
      <c r="B22" s="17">
        <f>B13+B14+B21</f>
        <v>20011.779999999912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FF56-219C-4BFC-A4D9-C412FA876766}">
  <dimension ref="A1:C17"/>
  <sheetViews>
    <sheetView workbookViewId="0">
      <selection activeCell="A8" sqref="A8:C10"/>
    </sheetView>
  </sheetViews>
  <sheetFormatPr defaultRowHeight="15" x14ac:dyDescent="0.25"/>
  <cols>
    <col min="1" max="1" width="45" customWidth="1"/>
    <col min="2" max="2" width="12.28515625" bestFit="1" customWidth="1"/>
  </cols>
  <sheetData>
    <row r="1" spans="1:3" x14ac:dyDescent="0.25">
      <c r="A1" s="15" t="s">
        <v>22</v>
      </c>
      <c r="B1" s="15" t="s">
        <v>23</v>
      </c>
    </row>
    <row r="2" spans="1:3" x14ac:dyDescent="0.25">
      <c r="A2" t="s">
        <v>39</v>
      </c>
      <c r="B2" s="17">
        <f>Op!B13</f>
        <v>594168.62999999989</v>
      </c>
    </row>
    <row r="3" spans="1:3" x14ac:dyDescent="0.25">
      <c r="A3" t="s">
        <v>60</v>
      </c>
      <c r="B3" s="17">
        <v>-246097.72</v>
      </c>
    </row>
    <row r="4" spans="1:3" x14ac:dyDescent="0.25">
      <c r="A4" s="15" t="s">
        <v>59</v>
      </c>
      <c r="B4" s="17">
        <f>B2+B3</f>
        <v>348070.90999999992</v>
      </c>
    </row>
    <row r="8" spans="1:3" x14ac:dyDescent="0.25">
      <c r="B8">
        <v>2025</v>
      </c>
      <c r="C8">
        <v>2024</v>
      </c>
    </row>
    <row r="9" spans="1:3" x14ac:dyDescent="0.25">
      <c r="A9" t="s">
        <v>102</v>
      </c>
      <c r="B9" s="2">
        <v>162734.99</v>
      </c>
      <c r="C9" s="2">
        <v>4665.03</v>
      </c>
    </row>
    <row r="10" spans="1:3" x14ac:dyDescent="0.25">
      <c r="A10" s="1" t="s">
        <v>153</v>
      </c>
      <c r="B10" s="37">
        <f>B9-C9</f>
        <v>158069.96</v>
      </c>
    </row>
    <row r="14" spans="1:3" x14ac:dyDescent="0.25">
      <c r="A14" s="15" t="s">
        <v>22</v>
      </c>
      <c r="B14" s="15" t="s">
        <v>23</v>
      </c>
    </row>
    <row r="15" spans="1:3" x14ac:dyDescent="0.25">
      <c r="A15" t="s">
        <v>39</v>
      </c>
      <c r="B15" s="17">
        <f>Op!B38</f>
        <v>645286.85999999987</v>
      </c>
    </row>
    <row r="16" spans="1:3" x14ac:dyDescent="0.25">
      <c r="A16" t="s">
        <v>60</v>
      </c>
      <c r="B16" s="17">
        <f>-invest!B22</f>
        <v>-20011.779999999912</v>
      </c>
    </row>
    <row r="17" spans="1:2" x14ac:dyDescent="0.25">
      <c r="A17" s="15" t="s">
        <v>59</v>
      </c>
      <c r="B17" s="17">
        <f>B15+B16</f>
        <v>625275.07999999996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29FF-5FA9-42BB-A28A-BFD402571650}">
  <dimension ref="B1:J81"/>
  <sheetViews>
    <sheetView topLeftCell="B7" zoomScale="172" zoomScaleNormal="172" workbookViewId="0">
      <selection activeCell="C15" sqref="C15"/>
    </sheetView>
  </sheetViews>
  <sheetFormatPr defaultRowHeight="15" x14ac:dyDescent="0.25"/>
  <cols>
    <col min="2" max="2" width="46.5703125" customWidth="1"/>
    <col min="3" max="3" width="13" bestFit="1" customWidth="1"/>
    <col min="4" max="4" width="10.5703125" bestFit="1" customWidth="1"/>
    <col min="5" max="6" width="12.42578125" bestFit="1" customWidth="1"/>
    <col min="8" max="8" width="13" bestFit="1" customWidth="1"/>
    <col min="10" max="10" width="13" bestFit="1" customWidth="1"/>
  </cols>
  <sheetData>
    <row r="1" spans="2:10" x14ac:dyDescent="0.25">
      <c r="B1" s="38" t="s">
        <v>49</v>
      </c>
      <c r="C1" s="38" t="s">
        <v>97</v>
      </c>
      <c r="D1" s="6" t="s">
        <v>98</v>
      </c>
      <c r="E1" s="6">
        <v>2025</v>
      </c>
      <c r="F1" s="6">
        <v>2024</v>
      </c>
    </row>
    <row r="2" spans="2:10" x14ac:dyDescent="0.25">
      <c r="B2" s="39" t="s">
        <v>93</v>
      </c>
      <c r="C2" s="37">
        <f>E2-F2</f>
        <v>320968.82000000007</v>
      </c>
      <c r="D2" s="6"/>
      <c r="E2" s="40">
        <v>645456.80000000005</v>
      </c>
      <c r="F2" s="40">
        <v>324487.98</v>
      </c>
    </row>
    <row r="3" spans="2:10" x14ac:dyDescent="0.25">
      <c r="B3" s="41" t="s">
        <v>61</v>
      </c>
      <c r="C3" s="20">
        <f t="shared" ref="C3:C4" si="0">E3-F3</f>
        <v>180673.33</v>
      </c>
      <c r="D3" s="41" t="s">
        <v>65</v>
      </c>
      <c r="E3" s="6">
        <v>180673.33</v>
      </c>
      <c r="F3" s="6">
        <v>0</v>
      </c>
    </row>
    <row r="4" spans="2:10" x14ac:dyDescent="0.25">
      <c r="B4" s="41" t="s">
        <v>66</v>
      </c>
      <c r="C4" s="20">
        <f t="shared" si="0"/>
        <v>201603.73</v>
      </c>
      <c r="D4" s="41" t="s">
        <v>67</v>
      </c>
      <c r="E4" s="6">
        <v>201603.73</v>
      </c>
      <c r="F4" s="6"/>
    </row>
    <row r="5" spans="2:10" x14ac:dyDescent="0.25">
      <c r="B5" s="41" t="s">
        <v>68</v>
      </c>
      <c r="C5" s="20">
        <f>E5-F5</f>
        <v>-80077.719999999972</v>
      </c>
      <c r="D5" s="41" t="s">
        <v>69</v>
      </c>
      <c r="E5" s="40">
        <v>194410.26</v>
      </c>
      <c r="F5" s="40">
        <v>274487.98</v>
      </c>
    </row>
    <row r="6" spans="2:10" x14ac:dyDescent="0.25">
      <c r="B6" s="41" t="s">
        <v>71</v>
      </c>
      <c r="C6" s="20">
        <f>E6-F6</f>
        <v>18769.48</v>
      </c>
      <c r="D6" s="41" t="s">
        <v>70</v>
      </c>
      <c r="E6" s="40">
        <v>18769.48</v>
      </c>
      <c r="F6" s="6"/>
    </row>
    <row r="7" spans="2:10" x14ac:dyDescent="0.25">
      <c r="B7" s="42" t="s">
        <v>94</v>
      </c>
      <c r="C7" s="43">
        <f>C8+C9+C10</f>
        <v>-121175.34000000001</v>
      </c>
      <c r="D7" s="41"/>
      <c r="E7" s="6"/>
      <c r="F7" s="6"/>
    </row>
    <row r="8" spans="2:10" ht="35.25" customHeight="1" x14ac:dyDescent="0.25">
      <c r="B8" s="44" t="s">
        <v>72</v>
      </c>
      <c r="C8" s="45">
        <v>-201022.54</v>
      </c>
      <c r="D8" s="41" t="s">
        <v>73</v>
      </c>
      <c r="E8" s="6"/>
      <c r="F8" s="6"/>
      <c r="J8" s="17"/>
    </row>
    <row r="9" spans="2:10" x14ac:dyDescent="0.25">
      <c r="B9" s="6" t="s">
        <v>74</v>
      </c>
      <c r="C9" s="46">
        <v>80077.72</v>
      </c>
      <c r="D9" s="41" t="s">
        <v>75</v>
      </c>
      <c r="E9" s="6"/>
      <c r="F9" s="6"/>
    </row>
    <row r="10" spans="2:10" x14ac:dyDescent="0.25">
      <c r="B10" s="44" t="s">
        <v>76</v>
      </c>
      <c r="C10" s="46">
        <f>-230.52</f>
        <v>-230.52</v>
      </c>
      <c r="D10" s="41" t="s">
        <v>77</v>
      </c>
      <c r="E10" s="6"/>
      <c r="F10" s="6"/>
    </row>
    <row r="11" spans="2:10" ht="30" x14ac:dyDescent="0.25">
      <c r="B11" s="42" t="s">
        <v>95</v>
      </c>
      <c r="C11" s="43">
        <f>C2+C7</f>
        <v>199793.48000000004</v>
      </c>
      <c r="D11" s="41"/>
      <c r="E11" s="6"/>
      <c r="F11" s="6"/>
      <c r="H11" s="17"/>
    </row>
    <row r="12" spans="2:10" x14ac:dyDescent="0.25">
      <c r="B12" s="42" t="s">
        <v>80</v>
      </c>
      <c r="C12" s="46">
        <f>E12-F12</f>
        <v>12614.080000000002</v>
      </c>
      <c r="D12" s="41" t="s">
        <v>79</v>
      </c>
      <c r="E12" s="40">
        <v>21541.06</v>
      </c>
      <c r="F12" s="40">
        <v>8926.98</v>
      </c>
    </row>
    <row r="13" spans="2:10" x14ac:dyDescent="0.25">
      <c r="B13" s="6" t="s">
        <v>82</v>
      </c>
      <c r="C13" s="46"/>
      <c r="D13" s="41"/>
      <c r="E13" s="6"/>
      <c r="F13" s="6"/>
    </row>
    <row r="14" spans="2:10" x14ac:dyDescent="0.25">
      <c r="B14" s="44" t="s">
        <v>83</v>
      </c>
      <c r="C14" s="46">
        <v>-12614.08</v>
      </c>
      <c r="D14" s="41" t="s">
        <v>81</v>
      </c>
      <c r="E14" s="6"/>
      <c r="F14" s="6"/>
    </row>
    <row r="15" spans="2:10" x14ac:dyDescent="0.25">
      <c r="B15" s="44" t="s">
        <v>84</v>
      </c>
      <c r="C15" s="46">
        <v>743.15</v>
      </c>
      <c r="D15" s="41" t="s">
        <v>13</v>
      </c>
      <c r="E15" s="6"/>
      <c r="F15" s="6"/>
      <c r="H15" s="17"/>
    </row>
    <row r="16" spans="2:10" x14ac:dyDescent="0.25">
      <c r="B16" s="44" t="s">
        <v>85</v>
      </c>
      <c r="C16" s="46">
        <v>-15531.25</v>
      </c>
      <c r="D16" s="41" t="s">
        <v>10</v>
      </c>
      <c r="E16" s="6"/>
      <c r="F16" s="6"/>
      <c r="H16" s="17"/>
    </row>
    <row r="17" spans="2:8" ht="30" x14ac:dyDescent="0.25">
      <c r="B17" s="42" t="s">
        <v>90</v>
      </c>
      <c r="C17" s="43">
        <f>SUM(C12:C16)</f>
        <v>-14788.099999999999</v>
      </c>
      <c r="D17" s="41"/>
      <c r="E17" s="6"/>
      <c r="F17" s="6"/>
      <c r="H17" s="17"/>
    </row>
    <row r="18" spans="2:8" x14ac:dyDescent="0.25">
      <c r="B18" s="6" t="s">
        <v>87</v>
      </c>
      <c r="C18" s="46">
        <f>E18-F18</f>
        <v>31053.779999999912</v>
      </c>
      <c r="D18" s="41" t="s">
        <v>86</v>
      </c>
      <c r="E18" s="40">
        <v>1042282.95</v>
      </c>
      <c r="F18" s="40">
        <v>1011229.17</v>
      </c>
      <c r="H18" s="17"/>
    </row>
    <row r="19" spans="2:8" x14ac:dyDescent="0.25">
      <c r="B19" s="6" t="s">
        <v>88</v>
      </c>
      <c r="C19" s="46">
        <v>172029.55</v>
      </c>
      <c r="D19" s="41" t="s">
        <v>34</v>
      </c>
      <c r="E19" s="6"/>
      <c r="F19" s="6"/>
    </row>
    <row r="20" spans="2:8" x14ac:dyDescent="0.25">
      <c r="B20" s="6" t="s">
        <v>96</v>
      </c>
      <c r="C20" s="46">
        <v>3740.54</v>
      </c>
      <c r="D20" s="41" t="s">
        <v>62</v>
      </c>
      <c r="E20" s="6"/>
      <c r="F20" s="6"/>
    </row>
    <row r="21" spans="2:8" x14ac:dyDescent="0.25">
      <c r="B21" s="6" t="s">
        <v>63</v>
      </c>
      <c r="C21" s="46">
        <v>69632.800000000003</v>
      </c>
      <c r="D21" s="41" t="s">
        <v>64</v>
      </c>
      <c r="E21" s="6"/>
      <c r="F21" s="6"/>
    </row>
    <row r="22" spans="2:8" x14ac:dyDescent="0.25">
      <c r="B22" s="6" t="s">
        <v>82</v>
      </c>
      <c r="C22" s="46"/>
      <c r="D22" s="41"/>
      <c r="E22" s="6"/>
      <c r="F22" s="6"/>
    </row>
    <row r="23" spans="2:8" x14ac:dyDescent="0.25">
      <c r="B23" s="44" t="s">
        <v>89</v>
      </c>
      <c r="C23" s="46">
        <v>-80077.72</v>
      </c>
      <c r="D23" s="41" t="s">
        <v>75</v>
      </c>
      <c r="E23" s="6"/>
      <c r="F23" s="6"/>
    </row>
    <row r="24" spans="2:8" ht="30" x14ac:dyDescent="0.25">
      <c r="B24" s="42" t="s">
        <v>91</v>
      </c>
      <c r="C24" s="43">
        <f>SUM(C18:C23)</f>
        <v>196378.94999999992</v>
      </c>
      <c r="D24" s="47"/>
      <c r="E24" s="6"/>
      <c r="F24" s="6"/>
    </row>
    <row r="25" spans="2:8" x14ac:dyDescent="0.25">
      <c r="B25" s="48" t="s">
        <v>92</v>
      </c>
      <c r="C25" s="43">
        <f>C11+C17+C24</f>
        <v>381384.32999999996</v>
      </c>
      <c r="D25" s="6"/>
      <c r="E25" s="6"/>
      <c r="F25" s="6"/>
    </row>
    <row r="29" spans="2:8" x14ac:dyDescent="0.25">
      <c r="C29" s="18"/>
    </row>
    <row r="35" spans="2:6" x14ac:dyDescent="0.25">
      <c r="B35" s="49" t="s">
        <v>49</v>
      </c>
      <c r="C35" s="49" t="s">
        <v>97</v>
      </c>
      <c r="D35" t="s">
        <v>98</v>
      </c>
      <c r="E35">
        <v>2025</v>
      </c>
      <c r="F35">
        <v>2024</v>
      </c>
    </row>
    <row r="36" spans="2:6" x14ac:dyDescent="0.25">
      <c r="B36" s="58" t="s">
        <v>132</v>
      </c>
      <c r="C36" s="60">
        <f>C37+C41</f>
        <v>-9306.3699999999953</v>
      </c>
    </row>
    <row r="37" spans="2:6" x14ac:dyDescent="0.25">
      <c r="B37" s="1" t="s">
        <v>28</v>
      </c>
      <c r="C37" s="19">
        <f>C38+C39+C40</f>
        <v>302199.34000000003</v>
      </c>
      <c r="E37" s="2">
        <v>645456.80000000005</v>
      </c>
      <c r="F37" s="2">
        <v>324487.98</v>
      </c>
    </row>
    <row r="38" spans="2:6" x14ac:dyDescent="0.25">
      <c r="B38" s="3" t="s">
        <v>61</v>
      </c>
      <c r="C38" s="17">
        <f t="shared" ref="C38:C39" si="1">E38-F38</f>
        <v>180673.33</v>
      </c>
      <c r="D38" s="3" t="s">
        <v>65</v>
      </c>
      <c r="E38">
        <v>180673.33</v>
      </c>
      <c r="F38">
        <v>0</v>
      </c>
    </row>
    <row r="39" spans="2:6" x14ac:dyDescent="0.25">
      <c r="B39" s="3" t="s">
        <v>66</v>
      </c>
      <c r="C39" s="17">
        <f t="shared" si="1"/>
        <v>201603.73</v>
      </c>
      <c r="D39" s="3" t="s">
        <v>67</v>
      </c>
      <c r="E39">
        <v>201603.73</v>
      </c>
    </row>
    <row r="40" spans="2:6" x14ac:dyDescent="0.25">
      <c r="B40" s="3" t="s">
        <v>68</v>
      </c>
      <c r="C40" s="17">
        <f>E40-F40</f>
        <v>-80077.719999999972</v>
      </c>
      <c r="D40" s="3" t="s">
        <v>69</v>
      </c>
      <c r="E40" s="2">
        <v>194410.26</v>
      </c>
      <c r="F40" s="2">
        <v>274487.98</v>
      </c>
    </row>
    <row r="41" spans="2:6" x14ac:dyDescent="0.25">
      <c r="B41" s="58" t="s">
        <v>82</v>
      </c>
      <c r="C41" s="17">
        <f>C42+C43+C44+C45</f>
        <v>-311505.71000000002</v>
      </c>
    </row>
    <row r="42" spans="2:6" x14ac:dyDescent="0.25">
      <c r="B42" s="52" t="s">
        <v>72</v>
      </c>
      <c r="C42" s="53">
        <v>-154428.79</v>
      </c>
      <c r="D42" s="3" t="s">
        <v>120</v>
      </c>
      <c r="E42" s="2"/>
    </row>
    <row r="43" spans="2:6" x14ac:dyDescent="0.25">
      <c r="B43" s="3" t="s">
        <v>126</v>
      </c>
      <c r="C43" s="17">
        <f>-C38</f>
        <v>-180673.33</v>
      </c>
      <c r="D43" s="3" t="s">
        <v>65</v>
      </c>
      <c r="E43" s="2"/>
    </row>
    <row r="44" spans="2:6" x14ac:dyDescent="0.25">
      <c r="B44" s="41" t="s">
        <v>127</v>
      </c>
      <c r="C44" s="20">
        <v>-46036.39</v>
      </c>
      <c r="D44" s="41" t="s">
        <v>121</v>
      </c>
      <c r="E44" s="2"/>
    </row>
    <row r="45" spans="2:6" x14ac:dyDescent="0.25">
      <c r="B45" s="3" t="s">
        <v>128</v>
      </c>
      <c r="C45" s="54">
        <v>69632.800000000003</v>
      </c>
      <c r="D45" s="3" t="s">
        <v>64</v>
      </c>
      <c r="E45" s="2"/>
    </row>
    <row r="46" spans="2:6" x14ac:dyDescent="0.25">
      <c r="B46" s="58" t="s">
        <v>133</v>
      </c>
      <c r="C46" s="51">
        <f>C48</f>
        <v>18769.48</v>
      </c>
      <c r="D46" s="3"/>
      <c r="E46" s="2"/>
    </row>
    <row r="47" spans="2:6" x14ac:dyDescent="0.25">
      <c r="B47" s="57" t="s">
        <v>28</v>
      </c>
      <c r="C47" s="54"/>
      <c r="D47" s="3"/>
      <c r="E47" s="2"/>
    </row>
    <row r="48" spans="2:6" x14ac:dyDescent="0.25">
      <c r="B48" s="3" t="s">
        <v>71</v>
      </c>
      <c r="C48" s="17">
        <f>E48-F41</f>
        <v>18769.48</v>
      </c>
      <c r="D48" s="3" t="s">
        <v>70</v>
      </c>
      <c r="E48" s="2">
        <v>18769.48</v>
      </c>
    </row>
    <row r="49" spans="2:6" x14ac:dyDescent="0.25">
      <c r="B49" s="50" t="s">
        <v>134</v>
      </c>
      <c r="C49" s="19">
        <f>C51+C53+C54</f>
        <v>0</v>
      </c>
      <c r="D49" s="3"/>
      <c r="E49" s="2"/>
    </row>
    <row r="50" spans="2:6" x14ac:dyDescent="0.25">
      <c r="B50" s="57" t="s">
        <v>28</v>
      </c>
    </row>
    <row r="51" spans="2:6" x14ac:dyDescent="0.25">
      <c r="B51" s="59" t="s">
        <v>122</v>
      </c>
      <c r="C51" s="54">
        <f>E51-F51</f>
        <v>27959.539999999997</v>
      </c>
      <c r="D51" s="3" t="s">
        <v>79</v>
      </c>
      <c r="E51" s="2">
        <v>36886.519999999997</v>
      </c>
      <c r="F51" s="2">
        <v>8926.98</v>
      </c>
    </row>
    <row r="52" spans="2:6" x14ac:dyDescent="0.25">
      <c r="B52" s="57" t="s">
        <v>82</v>
      </c>
      <c r="C52" s="54"/>
      <c r="D52" s="3"/>
    </row>
    <row r="53" spans="2:6" x14ac:dyDescent="0.25">
      <c r="B53" s="59" t="s">
        <v>83</v>
      </c>
      <c r="C53" s="54">
        <v>-12614.08</v>
      </c>
      <c r="D53" s="3" t="s">
        <v>81</v>
      </c>
    </row>
    <row r="54" spans="2:6" x14ac:dyDescent="0.25">
      <c r="B54" s="59" t="s">
        <v>125</v>
      </c>
      <c r="C54" s="54">
        <v>-15345.46</v>
      </c>
      <c r="D54" s="3" t="s">
        <v>124</v>
      </c>
    </row>
    <row r="55" spans="2:6" x14ac:dyDescent="0.25">
      <c r="B55" s="50" t="s">
        <v>135</v>
      </c>
      <c r="C55" s="51">
        <f>C57+C58+C60</f>
        <v>-69359.250000000087</v>
      </c>
      <c r="D55" s="3"/>
    </row>
    <row r="56" spans="2:6" x14ac:dyDescent="0.25">
      <c r="B56" s="52" t="s">
        <v>123</v>
      </c>
      <c r="C56" s="54"/>
      <c r="D56" s="3"/>
    </row>
    <row r="57" spans="2:6" x14ac:dyDescent="0.25">
      <c r="B57" t="s">
        <v>129</v>
      </c>
      <c r="C57" s="54">
        <f>E57-F57</f>
        <v>31053.779999999912</v>
      </c>
      <c r="D57" s="3" t="s">
        <v>86</v>
      </c>
      <c r="E57" s="2">
        <v>1042282.95</v>
      </c>
      <c r="F57" s="2">
        <v>1011229.17</v>
      </c>
    </row>
    <row r="58" spans="2:6" x14ac:dyDescent="0.25">
      <c r="B58" t="s">
        <v>130</v>
      </c>
      <c r="C58" s="54">
        <f>-(E58-F58)</f>
        <v>-35708.119999999995</v>
      </c>
      <c r="D58" s="3" t="s">
        <v>34</v>
      </c>
      <c r="E58" s="2">
        <v>172029.55</v>
      </c>
      <c r="F58" s="2">
        <v>136321.43</v>
      </c>
    </row>
    <row r="59" spans="2:6" x14ac:dyDescent="0.25">
      <c r="B59" t="s">
        <v>82</v>
      </c>
    </row>
    <row r="60" spans="2:6" x14ac:dyDescent="0.25">
      <c r="B60" t="s">
        <v>131</v>
      </c>
      <c r="C60" s="10">
        <v>-64704.91</v>
      </c>
      <c r="D60" t="s">
        <v>58</v>
      </c>
    </row>
    <row r="61" spans="2:6" x14ac:dyDescent="0.25">
      <c r="B61" s="50" t="s">
        <v>136</v>
      </c>
      <c r="C61" s="51">
        <f>C36+C46+C49+C55</f>
        <v>-59896.140000000087</v>
      </c>
      <c r="D61" s="3"/>
    </row>
    <row r="62" spans="2:6" x14ac:dyDescent="0.25">
      <c r="B62" s="52"/>
      <c r="C62" s="54"/>
      <c r="D62" s="3"/>
    </row>
    <row r="66" spans="2:4" x14ac:dyDescent="0.25">
      <c r="B66" s="50" t="s">
        <v>94</v>
      </c>
      <c r="C66" s="51">
        <f>C42+C68+C69</f>
        <v>-74581.590000000011</v>
      </c>
      <c r="D66" s="3"/>
    </row>
    <row r="68" spans="2:4" x14ac:dyDescent="0.25">
      <c r="B68" t="s">
        <v>74</v>
      </c>
      <c r="C68" s="54">
        <v>80077.72</v>
      </c>
      <c r="D68" s="3" t="s">
        <v>75</v>
      </c>
    </row>
    <row r="69" spans="2:4" x14ac:dyDescent="0.25">
      <c r="B69" s="52" t="s">
        <v>76</v>
      </c>
      <c r="C69" s="54">
        <f>-230.52</f>
        <v>-230.52</v>
      </c>
      <c r="D69" s="3" t="s">
        <v>77</v>
      </c>
    </row>
    <row r="70" spans="2:4" ht="30" x14ac:dyDescent="0.25">
      <c r="B70" s="50" t="s">
        <v>95</v>
      </c>
      <c r="C70" s="51">
        <f>C37+C66</f>
        <v>227617.75</v>
      </c>
      <c r="D70" s="3"/>
    </row>
    <row r="71" spans="2:4" x14ac:dyDescent="0.25">
      <c r="B71" s="52" t="s">
        <v>84</v>
      </c>
      <c r="C71" s="54">
        <v>743.15</v>
      </c>
      <c r="D71" s="3" t="s">
        <v>13</v>
      </c>
    </row>
    <row r="72" spans="2:4" x14ac:dyDescent="0.25">
      <c r="B72" s="52" t="s">
        <v>85</v>
      </c>
      <c r="C72" s="54">
        <v>-15531.25</v>
      </c>
      <c r="D72" s="3" t="s">
        <v>10</v>
      </c>
    </row>
    <row r="73" spans="2:4" ht="30" x14ac:dyDescent="0.25">
      <c r="B73" s="50" t="s">
        <v>90</v>
      </c>
      <c r="C73" s="51">
        <f>SUM(C51:C72)</f>
        <v>19480.619999999741</v>
      </c>
      <c r="D73" s="3"/>
    </row>
    <row r="76" spans="2:4" x14ac:dyDescent="0.25">
      <c r="B76" t="s">
        <v>96</v>
      </c>
      <c r="C76" s="54">
        <v>3740.54</v>
      </c>
      <c r="D76" s="3" t="s">
        <v>62</v>
      </c>
    </row>
    <row r="77" spans="2:4" x14ac:dyDescent="0.25">
      <c r="B77" t="s">
        <v>63</v>
      </c>
      <c r="C77" s="54">
        <v>69632.800000000003</v>
      </c>
      <c r="D77" s="3" t="s">
        <v>64</v>
      </c>
    </row>
    <row r="78" spans="2:4" x14ac:dyDescent="0.25">
      <c r="B78" t="s">
        <v>82</v>
      </c>
      <c r="C78" s="54"/>
      <c r="D78" s="3"/>
    </row>
    <row r="79" spans="2:4" x14ac:dyDescent="0.25">
      <c r="B79" s="52" t="s">
        <v>89</v>
      </c>
      <c r="C79" s="54">
        <v>-80077.72</v>
      </c>
      <c r="D79" s="3" t="s">
        <v>75</v>
      </c>
    </row>
    <row r="80" spans="2:4" ht="30" x14ac:dyDescent="0.25">
      <c r="B80" s="50" t="s">
        <v>91</v>
      </c>
      <c r="C80" s="51">
        <f>SUM(C57:C79)</f>
        <v>101616.10999999955</v>
      </c>
      <c r="D80" s="55"/>
    </row>
    <row r="81" spans="2:3" x14ac:dyDescent="0.25">
      <c r="B81" s="56" t="s">
        <v>92</v>
      </c>
      <c r="C81" s="51">
        <f>C70+C73+C80</f>
        <v>348714.47999999928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9BAD-ED04-4DC2-AA8C-0FA248C7B88A}">
  <dimension ref="A1:F22"/>
  <sheetViews>
    <sheetView workbookViewId="0">
      <selection sqref="A1:B4"/>
    </sheetView>
  </sheetViews>
  <sheetFormatPr defaultRowHeight="15" x14ac:dyDescent="0.25"/>
  <cols>
    <col min="1" max="1" width="45" customWidth="1"/>
    <col min="2" max="2" width="13.28515625" bestFit="1" customWidth="1"/>
    <col min="4" max="4" width="10.5703125" bestFit="1" customWidth="1"/>
    <col min="6" max="6" width="11.28515625" bestFit="1" customWidth="1"/>
  </cols>
  <sheetData>
    <row r="1" spans="1:6" x14ac:dyDescent="0.25">
      <c r="A1" s="15" t="s">
        <v>22</v>
      </c>
      <c r="B1" s="15" t="s">
        <v>23</v>
      </c>
    </row>
    <row r="2" spans="1:6" x14ac:dyDescent="0.25">
      <c r="A2" t="s">
        <v>99</v>
      </c>
      <c r="B2" s="17">
        <f>Vrije!B4</f>
        <v>348070.90999999992</v>
      </c>
      <c r="F2" s="17"/>
    </row>
    <row r="3" spans="1:6" x14ac:dyDescent="0.25">
      <c r="A3" t="s">
        <v>100</v>
      </c>
      <c r="B3" s="17">
        <f>Fin!C25</f>
        <v>381384.32999999996</v>
      </c>
    </row>
    <row r="4" spans="1:6" x14ac:dyDescent="0.25">
      <c r="A4" s="15" t="s">
        <v>101</v>
      </c>
      <c r="B4" s="19">
        <f>SUM(B2:B3)</f>
        <v>729455.23999999987</v>
      </c>
    </row>
    <row r="12" spans="1:6" x14ac:dyDescent="0.25">
      <c r="A12" s="36" t="s">
        <v>22</v>
      </c>
      <c r="B12" s="36" t="s">
        <v>23</v>
      </c>
    </row>
    <row r="13" spans="1:6" x14ac:dyDescent="0.25">
      <c r="A13" s="6" t="s">
        <v>99</v>
      </c>
      <c r="B13" s="20">
        <f>Vrije!B15</f>
        <v>645286.85999999987</v>
      </c>
    </row>
    <row r="14" spans="1:6" x14ac:dyDescent="0.25">
      <c r="A14" s="6" t="s">
        <v>100</v>
      </c>
      <c r="B14" s="20">
        <f>Fin!C61</f>
        <v>-59896.140000000087</v>
      </c>
    </row>
    <row r="15" spans="1:6" x14ac:dyDescent="0.25">
      <c r="A15" s="36" t="s">
        <v>101</v>
      </c>
      <c r="B15" s="37">
        <f>B13-B14</f>
        <v>705183</v>
      </c>
    </row>
    <row r="21" spans="4:4" x14ac:dyDescent="0.25">
      <c r="D21">
        <v>158070</v>
      </c>
    </row>
    <row r="22" spans="4:4" x14ac:dyDescent="0.25">
      <c r="D22" s="17">
        <f>B15-D21</f>
        <v>547113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70FD-60C5-42FD-81CB-997A34492491}">
  <dimension ref="A1:J77"/>
  <sheetViews>
    <sheetView topLeftCell="A50" zoomScale="166" zoomScaleNormal="166" workbookViewId="0">
      <selection activeCell="C71" sqref="C71"/>
    </sheetView>
  </sheetViews>
  <sheetFormatPr defaultRowHeight="15" x14ac:dyDescent="0.25"/>
  <cols>
    <col min="1" max="1" width="37.7109375" bestFit="1" customWidth="1"/>
    <col min="2" max="2" width="13.28515625" bestFit="1" customWidth="1"/>
    <col min="3" max="3" width="12.42578125" bestFit="1" customWidth="1"/>
    <col min="4" max="4" width="14" bestFit="1" customWidth="1"/>
    <col min="5" max="6" width="11.5703125" bestFit="1" customWidth="1"/>
    <col min="9" max="9" width="20.140625" bestFit="1" customWidth="1"/>
    <col min="10" max="10" width="14" bestFit="1" customWidth="1"/>
  </cols>
  <sheetData>
    <row r="1" spans="1:10" x14ac:dyDescent="0.25">
      <c r="A1" s="67" t="s">
        <v>21</v>
      </c>
      <c r="B1" s="68">
        <v>2025</v>
      </c>
      <c r="C1" s="68">
        <v>2024</v>
      </c>
      <c r="D1" s="68" t="s">
        <v>0</v>
      </c>
      <c r="E1" s="68">
        <v>2025</v>
      </c>
      <c r="F1" s="68">
        <v>2024</v>
      </c>
    </row>
    <row r="2" spans="1:10" x14ac:dyDescent="0.25">
      <c r="A2" s="69" t="s">
        <v>3</v>
      </c>
      <c r="B2" s="70">
        <v>285253.52</v>
      </c>
      <c r="C2" s="70">
        <v>56127.31</v>
      </c>
      <c r="D2" s="71" t="s">
        <v>110</v>
      </c>
    </row>
    <row r="3" spans="1:10" x14ac:dyDescent="0.25">
      <c r="A3" s="69" t="s">
        <v>1</v>
      </c>
      <c r="B3" s="70">
        <f>B4+B5+B6+B7</f>
        <v>221886.72</v>
      </c>
      <c r="C3" s="70">
        <f>C4+C5+C6+C7</f>
        <v>172158.41</v>
      </c>
      <c r="D3" s="71"/>
    </row>
    <row r="4" spans="1:10" x14ac:dyDescent="0.25">
      <c r="A4" s="4" t="s">
        <v>4</v>
      </c>
      <c r="B4" s="88">
        <v>152975.39000000001</v>
      </c>
      <c r="C4" s="73">
        <v>155871.43</v>
      </c>
      <c r="D4" s="71" t="s">
        <v>2</v>
      </c>
    </row>
    <row r="5" spans="1:10" ht="31.5" customHeight="1" x14ac:dyDescent="0.25">
      <c r="A5" s="4" t="s">
        <v>6</v>
      </c>
      <c r="B5" s="88">
        <v>40766</v>
      </c>
      <c r="C5" s="73">
        <v>7360</v>
      </c>
      <c r="D5" s="71" t="s">
        <v>5</v>
      </c>
    </row>
    <row r="6" spans="1:10" x14ac:dyDescent="0.25">
      <c r="A6" s="4" t="s">
        <v>8</v>
      </c>
      <c r="B6" s="73">
        <v>12614.08</v>
      </c>
      <c r="C6" s="73">
        <v>8926.98</v>
      </c>
      <c r="D6" s="71" t="s">
        <v>7</v>
      </c>
    </row>
    <row r="7" spans="1:10" ht="18.75" customHeight="1" x14ac:dyDescent="0.25">
      <c r="A7" s="21" t="s">
        <v>11</v>
      </c>
      <c r="B7" s="72">
        <v>15531.25</v>
      </c>
      <c r="C7" s="72"/>
      <c r="D7" s="74" t="s">
        <v>10</v>
      </c>
    </row>
    <row r="8" spans="1:10" x14ac:dyDescent="0.25">
      <c r="A8" s="69" t="s">
        <v>12</v>
      </c>
      <c r="B8" s="70">
        <v>0</v>
      </c>
      <c r="C8" s="70">
        <v>0</v>
      </c>
      <c r="D8" s="71"/>
    </row>
    <row r="9" spans="1:10" ht="30" x14ac:dyDescent="0.25">
      <c r="A9" s="87" t="s">
        <v>108</v>
      </c>
      <c r="B9" s="78">
        <f>B2+B3</f>
        <v>507140.24</v>
      </c>
      <c r="C9" s="78">
        <f>C2+C3+C8</f>
        <v>228285.72</v>
      </c>
      <c r="D9" s="79"/>
      <c r="I9" t="s">
        <v>171</v>
      </c>
    </row>
    <row r="10" spans="1:10" x14ac:dyDescent="0.25">
      <c r="A10" s="69" t="s">
        <v>107</v>
      </c>
      <c r="B10" s="71"/>
      <c r="C10" s="71"/>
      <c r="D10" s="71" t="s">
        <v>109</v>
      </c>
      <c r="I10" t="s">
        <v>172</v>
      </c>
    </row>
    <row r="11" spans="1:10" x14ac:dyDescent="0.25">
      <c r="A11" s="4" t="s">
        <v>20</v>
      </c>
      <c r="B11" s="73">
        <v>69442.880000000005</v>
      </c>
      <c r="C11" s="73">
        <v>17837.650000000001</v>
      </c>
      <c r="D11" s="71"/>
      <c r="I11" t="s">
        <v>173</v>
      </c>
      <c r="J11">
        <v>49798</v>
      </c>
    </row>
    <row r="12" spans="1:10" x14ac:dyDescent="0.25">
      <c r="A12" s="87" t="s">
        <v>56</v>
      </c>
      <c r="B12" s="78">
        <f>B9-B11</f>
        <v>437697.36</v>
      </c>
      <c r="C12" s="78">
        <f>C9-C11</f>
        <v>210448.07</v>
      </c>
      <c r="D12" s="79"/>
      <c r="I12" t="s">
        <v>174</v>
      </c>
      <c r="J12">
        <v>-1664.48</v>
      </c>
    </row>
    <row r="13" spans="1:10" x14ac:dyDescent="0.25">
      <c r="A13" s="69" t="s">
        <v>57</v>
      </c>
      <c r="B13" s="73">
        <v>64704.91</v>
      </c>
      <c r="C13" s="73">
        <v>62433.75</v>
      </c>
      <c r="D13" s="71" t="s">
        <v>58</v>
      </c>
      <c r="I13" t="s">
        <v>177</v>
      </c>
      <c r="J13">
        <v>150000</v>
      </c>
    </row>
    <row r="14" spans="1:10" x14ac:dyDescent="0.25">
      <c r="A14" s="89" t="s">
        <v>19</v>
      </c>
      <c r="B14" s="78">
        <f>B12+B13</f>
        <v>502402.27</v>
      </c>
      <c r="C14" s="78">
        <f>C12+C13</f>
        <v>272881.82</v>
      </c>
      <c r="D14" s="79"/>
      <c r="I14" t="s">
        <v>174</v>
      </c>
      <c r="J14">
        <v>-10027.4</v>
      </c>
    </row>
    <row r="15" spans="1:10" x14ac:dyDescent="0.25">
      <c r="A15" s="69" t="s">
        <v>19</v>
      </c>
      <c r="B15" s="70">
        <f>B14</f>
        <v>502402.27</v>
      </c>
      <c r="I15" t="s">
        <v>178</v>
      </c>
      <c r="J15">
        <v>2800</v>
      </c>
    </row>
    <row r="16" spans="1:10" ht="30" x14ac:dyDescent="0.25">
      <c r="A16" s="34" t="s">
        <v>154</v>
      </c>
      <c r="B16" s="86">
        <f>B17+B18+B19</f>
        <v>-33188.21</v>
      </c>
      <c r="C16" s="24"/>
      <c r="D16" s="24"/>
      <c r="E16" s="25">
        <v>2025</v>
      </c>
      <c r="F16" s="25">
        <v>2024</v>
      </c>
      <c r="I16" t="s">
        <v>174</v>
      </c>
      <c r="J16">
        <v>-47.56</v>
      </c>
    </row>
    <row r="17" spans="1:10" x14ac:dyDescent="0.25">
      <c r="A17" t="s">
        <v>137</v>
      </c>
      <c r="B17" s="28">
        <f>-(E17-F17)</f>
        <v>10904.419999999998</v>
      </c>
      <c r="C17" s="29" t="s">
        <v>29</v>
      </c>
      <c r="D17" s="29" t="s">
        <v>30</v>
      </c>
      <c r="E17" s="28">
        <v>36661.58</v>
      </c>
      <c r="F17" s="28">
        <v>47566</v>
      </c>
      <c r="I17" t="s">
        <v>179</v>
      </c>
      <c r="J17">
        <f>165000+1750+100</f>
        <v>166850</v>
      </c>
    </row>
    <row r="18" spans="1:10" x14ac:dyDescent="0.25">
      <c r="A18" t="s">
        <v>138</v>
      </c>
      <c r="B18" s="28">
        <f>-(E18-F18)</f>
        <v>-37523.25</v>
      </c>
      <c r="C18" s="29" t="s">
        <v>31</v>
      </c>
      <c r="D18" s="29" t="s">
        <v>30</v>
      </c>
      <c r="E18" s="28">
        <f>407047.76+131.61</f>
        <v>407179.37</v>
      </c>
      <c r="F18" s="28">
        <v>369656.12</v>
      </c>
      <c r="I18" t="s">
        <v>180</v>
      </c>
      <c r="J18">
        <f>-2001.96-21.23-1.21</f>
        <v>-2024.4</v>
      </c>
    </row>
    <row r="19" spans="1:10" x14ac:dyDescent="0.25">
      <c r="A19" t="s">
        <v>139</v>
      </c>
      <c r="B19" s="28">
        <f>-(E19-F19)</f>
        <v>-6569.38</v>
      </c>
      <c r="C19" s="29" t="s">
        <v>32</v>
      </c>
      <c r="D19" s="29" t="s">
        <v>30</v>
      </c>
      <c r="E19" s="28">
        <v>6569.38</v>
      </c>
      <c r="F19" s="28">
        <v>0</v>
      </c>
      <c r="I19" t="s">
        <v>185</v>
      </c>
      <c r="J19">
        <v>68035.12</v>
      </c>
    </row>
    <row r="20" spans="1:10" ht="30" x14ac:dyDescent="0.25">
      <c r="A20" s="34" t="s">
        <v>140</v>
      </c>
      <c r="B20" s="86">
        <f>B21+B22+B23+B24+B25+B26</f>
        <v>174641.02</v>
      </c>
      <c r="E20" s="17"/>
      <c r="F20" s="17"/>
      <c r="I20" t="s">
        <v>174</v>
      </c>
      <c r="J20">
        <v>-6000</v>
      </c>
    </row>
    <row r="21" spans="1:10" x14ac:dyDescent="0.25">
      <c r="A21" s="29" t="s">
        <v>141</v>
      </c>
      <c r="B21" s="28">
        <f t="shared" ref="B21:B26" si="0">E21-F21</f>
        <v>-4182.1500000000233</v>
      </c>
      <c r="C21" s="29" t="s">
        <v>35</v>
      </c>
      <c r="D21" s="29" t="s">
        <v>30</v>
      </c>
      <c r="E21" s="28">
        <v>144903.82999999999</v>
      </c>
      <c r="F21" s="28">
        <v>149085.98000000001</v>
      </c>
      <c r="I21" t="s">
        <v>186</v>
      </c>
      <c r="J21">
        <v>20628.5</v>
      </c>
    </row>
    <row r="22" spans="1:10" x14ac:dyDescent="0.25">
      <c r="A22" s="29" t="s">
        <v>143</v>
      </c>
      <c r="B22" s="28">
        <f t="shared" si="0"/>
        <v>8700</v>
      </c>
      <c r="C22" s="29" t="s">
        <v>142</v>
      </c>
      <c r="D22" s="29" t="s">
        <v>30</v>
      </c>
      <c r="E22" s="28">
        <v>13524.62</v>
      </c>
      <c r="F22" s="28">
        <v>4824.62</v>
      </c>
      <c r="I22" t="s">
        <v>174</v>
      </c>
      <c r="J22">
        <v>-51.78</v>
      </c>
    </row>
    <row r="23" spans="1:10" x14ac:dyDescent="0.25">
      <c r="A23" s="29" t="s">
        <v>107</v>
      </c>
      <c r="B23" s="28">
        <f t="shared" si="0"/>
        <v>97249.21</v>
      </c>
      <c r="C23" s="29" t="s">
        <v>113</v>
      </c>
      <c r="D23" s="29" t="s">
        <v>30</v>
      </c>
      <c r="E23" s="28">
        <v>131834.63</v>
      </c>
      <c r="F23" s="28">
        <v>34585.42</v>
      </c>
      <c r="I23" s="1" t="s">
        <v>181</v>
      </c>
      <c r="J23" s="1">
        <f>SUM(J11:J22)</f>
        <v>438295.99999999994</v>
      </c>
    </row>
    <row r="24" spans="1:10" x14ac:dyDescent="0.25">
      <c r="A24" s="29" t="s">
        <v>146</v>
      </c>
      <c r="B24" s="28">
        <f t="shared" si="0"/>
        <v>1000</v>
      </c>
      <c r="C24" s="29" t="s">
        <v>36</v>
      </c>
      <c r="D24" s="29" t="s">
        <v>30</v>
      </c>
      <c r="E24" s="28">
        <v>1000</v>
      </c>
      <c r="F24" s="28">
        <v>0</v>
      </c>
      <c r="I24" t="s">
        <v>175</v>
      </c>
    </row>
    <row r="25" spans="1:10" x14ac:dyDescent="0.25">
      <c r="A25" s="80" t="s">
        <v>144</v>
      </c>
      <c r="B25" s="17">
        <f t="shared" si="0"/>
        <v>69632.800000000003</v>
      </c>
      <c r="C25" s="29" t="s">
        <v>145</v>
      </c>
      <c r="E25" s="92">
        <v>69632.800000000003</v>
      </c>
      <c r="F25" s="92">
        <v>0</v>
      </c>
      <c r="I25" t="s">
        <v>176</v>
      </c>
      <c r="J25">
        <v>-185000</v>
      </c>
    </row>
    <row r="26" spans="1:10" x14ac:dyDescent="0.25">
      <c r="A26" s="80" t="s">
        <v>139</v>
      </c>
      <c r="B26" s="28">
        <f t="shared" si="0"/>
        <v>2241.16</v>
      </c>
      <c r="C26" s="29" t="s">
        <v>38</v>
      </c>
      <c r="D26" s="29" t="s">
        <v>30</v>
      </c>
      <c r="E26" s="28">
        <v>4490.54</v>
      </c>
      <c r="F26" s="28">
        <v>2249.38</v>
      </c>
      <c r="I26" t="s">
        <v>174</v>
      </c>
      <c r="J26">
        <v>87875</v>
      </c>
    </row>
    <row r="27" spans="1:10" x14ac:dyDescent="0.25">
      <c r="A27" s="90" t="s">
        <v>82</v>
      </c>
      <c r="B27" s="9">
        <f>B28</f>
        <v>-40766</v>
      </c>
      <c r="C27" s="24"/>
      <c r="D27" s="24"/>
      <c r="E27" s="25"/>
      <c r="F27" s="25"/>
      <c r="I27" s="1" t="s">
        <v>187</v>
      </c>
      <c r="J27" s="1">
        <f>SUM(J25:J26)</f>
        <v>-97125</v>
      </c>
    </row>
    <row r="28" spans="1:10" ht="30" x14ac:dyDescent="0.25">
      <c r="A28" s="4" t="s">
        <v>6</v>
      </c>
      <c r="B28" s="10">
        <v>-40766</v>
      </c>
      <c r="C28" t="s">
        <v>5</v>
      </c>
      <c r="E28" s="10"/>
      <c r="I28" t="s">
        <v>188</v>
      </c>
      <c r="J28" s="1">
        <f>J23+J27</f>
        <v>341170.99999999994</v>
      </c>
    </row>
    <row r="29" spans="1:10" ht="45" x14ac:dyDescent="0.25">
      <c r="A29" s="81" t="s">
        <v>39</v>
      </c>
      <c r="B29" s="83">
        <f>B15+B16+B20+B27</f>
        <v>603089.07999999996</v>
      </c>
      <c r="C29" s="82"/>
      <c r="D29" s="82"/>
      <c r="E29" s="82"/>
      <c r="I29" s="81" t="s">
        <v>39</v>
      </c>
      <c r="J29" s="83">
        <f>B29</f>
        <v>603089.07999999996</v>
      </c>
    </row>
    <row r="30" spans="1:10" x14ac:dyDescent="0.25">
      <c r="A30" s="15" t="s">
        <v>55</v>
      </c>
      <c r="I30" s="96" t="s">
        <v>182</v>
      </c>
      <c r="J30" s="37">
        <f>J29-J28</f>
        <v>261918.08000000002</v>
      </c>
    </row>
    <row r="31" spans="1:10" x14ac:dyDescent="0.25">
      <c r="A31" s="13" t="s">
        <v>49</v>
      </c>
      <c r="B31" s="13" t="s">
        <v>23</v>
      </c>
      <c r="C31" s="13" t="s">
        <v>24</v>
      </c>
      <c r="D31" s="13" t="s">
        <v>48</v>
      </c>
      <c r="E31">
        <v>2025</v>
      </c>
      <c r="F31">
        <v>2024</v>
      </c>
      <c r="I31" t="s">
        <v>183</v>
      </c>
      <c r="J31" s="17"/>
    </row>
    <row r="32" spans="1:10" x14ac:dyDescent="0.25">
      <c r="A32" s="15" t="s">
        <v>123</v>
      </c>
      <c r="B32" s="16">
        <f>B33+B34</f>
        <v>399073.10999999987</v>
      </c>
      <c r="C32" s="13"/>
      <c r="D32" s="13"/>
      <c r="J32" s="17"/>
    </row>
    <row r="33" spans="1:10" x14ac:dyDescent="0.25">
      <c r="A33" s="3" t="s">
        <v>147</v>
      </c>
      <c r="B33" s="17">
        <f>(E33-F33)</f>
        <v>48133.52</v>
      </c>
      <c r="C33" t="s">
        <v>51</v>
      </c>
      <c r="D33" t="s">
        <v>45</v>
      </c>
      <c r="E33" s="2">
        <v>48133.52</v>
      </c>
      <c r="F33">
        <v>0</v>
      </c>
      <c r="I33" s="1" t="s">
        <v>184</v>
      </c>
      <c r="J33" s="19">
        <f>J30-B76</f>
        <v>103848.12000000002</v>
      </c>
    </row>
    <row r="34" spans="1:10" x14ac:dyDescent="0.25">
      <c r="A34" s="3" t="s">
        <v>148</v>
      </c>
      <c r="B34" s="17">
        <f>E34-F34</f>
        <v>350939.58999999985</v>
      </c>
      <c r="C34" t="s">
        <v>46</v>
      </c>
      <c r="D34" t="s">
        <v>45</v>
      </c>
      <c r="E34" s="2">
        <v>1600763.4</v>
      </c>
      <c r="F34" s="2">
        <v>1249823.81</v>
      </c>
    </row>
    <row r="35" spans="1:10" x14ac:dyDescent="0.25">
      <c r="A35" s="1" t="s">
        <v>82</v>
      </c>
      <c r="B35" s="19">
        <f>B36+B37+B38</f>
        <v>-333648.71999999997</v>
      </c>
    </row>
    <row r="36" spans="1:10" x14ac:dyDescent="0.25">
      <c r="A36" t="s">
        <v>149</v>
      </c>
      <c r="B36" s="26">
        <v>-151310.91</v>
      </c>
      <c r="C36" t="s">
        <v>152</v>
      </c>
      <c r="D36" t="s">
        <v>52</v>
      </c>
    </row>
    <row r="37" spans="1:10" x14ac:dyDescent="0.25">
      <c r="A37" t="s">
        <v>150</v>
      </c>
      <c r="B37" s="26">
        <v>-1664.48</v>
      </c>
      <c r="C37" t="s">
        <v>43</v>
      </c>
    </row>
    <row r="38" spans="1:10" x14ac:dyDescent="0.25">
      <c r="A38" t="s">
        <v>61</v>
      </c>
      <c r="B38" s="2">
        <v>-180673.33</v>
      </c>
      <c r="C38" t="s">
        <v>65</v>
      </c>
    </row>
    <row r="39" spans="1:10" x14ac:dyDescent="0.25">
      <c r="A39" s="84" t="s">
        <v>151</v>
      </c>
      <c r="B39" s="85">
        <f>B32+B35</f>
        <v>65424.389999999898</v>
      </c>
      <c r="C39" s="82"/>
      <c r="D39" s="82"/>
      <c r="E39" s="82"/>
    </row>
    <row r="40" spans="1:10" x14ac:dyDescent="0.25">
      <c r="A40" s="14" t="s">
        <v>39</v>
      </c>
      <c r="B40" s="86">
        <f>B29</f>
        <v>603089.07999999996</v>
      </c>
    </row>
    <row r="41" spans="1:10" x14ac:dyDescent="0.25">
      <c r="A41" s="1" t="s">
        <v>151</v>
      </c>
      <c r="B41" s="19">
        <f>B39</f>
        <v>65424.389999999898</v>
      </c>
    </row>
    <row r="42" spans="1:10" x14ac:dyDescent="0.25">
      <c r="A42" s="84" t="s">
        <v>59</v>
      </c>
      <c r="B42" s="85">
        <f>B29-B39</f>
        <v>537664.69000000006</v>
      </c>
      <c r="C42" s="82"/>
      <c r="D42" s="82"/>
      <c r="E42" s="82"/>
    </row>
    <row r="44" spans="1:10" x14ac:dyDescent="0.25">
      <c r="A44" s="58" t="s">
        <v>132</v>
      </c>
      <c r="B44" s="60">
        <f>B45+B49</f>
        <v>-9306.3699999999953</v>
      </c>
    </row>
    <row r="45" spans="1:10" x14ac:dyDescent="0.25">
      <c r="A45" s="1" t="s">
        <v>28</v>
      </c>
      <c r="B45" s="19">
        <f>B46+B47+B48</f>
        <v>302199.34000000003</v>
      </c>
      <c r="D45" s="2">
        <v>645456.80000000005</v>
      </c>
      <c r="E45" s="2">
        <v>324487.98</v>
      </c>
      <c r="F45" s="2"/>
    </row>
    <row r="46" spans="1:10" x14ac:dyDescent="0.25">
      <c r="A46" s="3" t="s">
        <v>61</v>
      </c>
      <c r="B46" s="17">
        <f t="shared" ref="B46:B47" si="1">D46-E46</f>
        <v>180673.33</v>
      </c>
      <c r="C46" s="3" t="s">
        <v>65</v>
      </c>
      <c r="D46">
        <v>180673.33</v>
      </c>
      <c r="E46">
        <v>0</v>
      </c>
      <c r="F46" s="17"/>
    </row>
    <row r="47" spans="1:10" x14ac:dyDescent="0.25">
      <c r="A47" s="3" t="s">
        <v>66</v>
      </c>
      <c r="B47" s="17">
        <f t="shared" si="1"/>
        <v>201603.73</v>
      </c>
      <c r="C47" s="3" t="s">
        <v>67</v>
      </c>
      <c r="D47">
        <v>201603.73</v>
      </c>
    </row>
    <row r="48" spans="1:10" x14ac:dyDescent="0.25">
      <c r="A48" s="3" t="s">
        <v>68</v>
      </c>
      <c r="B48" s="17">
        <f>D48-E48</f>
        <v>-80077.719999999972</v>
      </c>
      <c r="C48" s="3" t="s">
        <v>69</v>
      </c>
      <c r="D48" s="2">
        <v>194410.26</v>
      </c>
      <c r="E48" s="2">
        <v>274487.98</v>
      </c>
    </row>
    <row r="49" spans="1:5" x14ac:dyDescent="0.25">
      <c r="A49" s="58" t="s">
        <v>82</v>
      </c>
      <c r="B49" s="19">
        <f>B50+B51+B52+B53</f>
        <v>-311505.71000000002</v>
      </c>
    </row>
    <row r="50" spans="1:5" ht="30" x14ac:dyDescent="0.25">
      <c r="A50" s="52" t="s">
        <v>72</v>
      </c>
      <c r="B50" s="53">
        <v>-154428.79</v>
      </c>
      <c r="C50" s="3" t="s">
        <v>120</v>
      </c>
      <c r="D50" s="2"/>
    </row>
    <row r="51" spans="1:5" x14ac:dyDescent="0.25">
      <c r="A51" s="3" t="s">
        <v>126</v>
      </c>
      <c r="B51" s="17">
        <f>-B46</f>
        <v>-180673.33</v>
      </c>
      <c r="C51" s="3" t="s">
        <v>65</v>
      </c>
      <c r="D51" s="2"/>
    </row>
    <row r="52" spans="1:5" x14ac:dyDescent="0.25">
      <c r="A52" s="41" t="s">
        <v>127</v>
      </c>
      <c r="B52" s="20">
        <v>-46036.39</v>
      </c>
      <c r="C52" s="41" t="s">
        <v>121</v>
      </c>
      <c r="D52" s="2"/>
    </row>
    <row r="53" spans="1:5" x14ac:dyDescent="0.25">
      <c r="A53" s="3" t="s">
        <v>128</v>
      </c>
      <c r="B53" s="54">
        <v>69632.800000000003</v>
      </c>
      <c r="C53" s="3" t="s">
        <v>64</v>
      </c>
      <c r="D53" s="91" t="s">
        <v>155</v>
      </c>
    </row>
    <row r="54" spans="1:5" x14ac:dyDescent="0.25">
      <c r="A54" s="58" t="s">
        <v>133</v>
      </c>
      <c r="B54" s="51">
        <f>B56</f>
        <v>18769.48</v>
      </c>
      <c r="C54" s="3"/>
      <c r="D54" s="2"/>
    </row>
    <row r="55" spans="1:5" x14ac:dyDescent="0.25">
      <c r="A55" s="57" t="s">
        <v>28</v>
      </c>
      <c r="B55" s="54"/>
      <c r="C55" s="3"/>
      <c r="D55" s="2"/>
    </row>
    <row r="56" spans="1:5" x14ac:dyDescent="0.25">
      <c r="A56" s="3" t="s">
        <v>71</v>
      </c>
      <c r="B56" s="17">
        <f>D56-E49</f>
        <v>18769.48</v>
      </c>
      <c r="C56" s="3" t="s">
        <v>70</v>
      </c>
      <c r="D56" s="2">
        <v>18769.48</v>
      </c>
    </row>
    <row r="57" spans="1:5" ht="30" x14ac:dyDescent="0.25">
      <c r="A57" s="50" t="s">
        <v>134</v>
      </c>
      <c r="B57" s="19">
        <f>B59+B61+B62</f>
        <v>0</v>
      </c>
      <c r="C57" s="3"/>
      <c r="D57" s="2"/>
    </row>
    <row r="58" spans="1:5" x14ac:dyDescent="0.25">
      <c r="A58" s="57" t="s">
        <v>28</v>
      </c>
    </row>
    <row r="59" spans="1:5" x14ac:dyDescent="0.25">
      <c r="A59" s="59" t="s">
        <v>122</v>
      </c>
      <c r="B59" s="54">
        <f>D59-E59</f>
        <v>27959.539999999997</v>
      </c>
      <c r="C59" s="3" t="s">
        <v>79</v>
      </c>
      <c r="D59" s="2">
        <v>36886.519999999997</v>
      </c>
      <c r="E59" s="2">
        <v>8926.98</v>
      </c>
    </row>
    <row r="60" spans="1:5" x14ac:dyDescent="0.25">
      <c r="A60" s="57" t="s">
        <v>82</v>
      </c>
      <c r="B60" s="54"/>
      <c r="C60" s="3"/>
    </row>
    <row r="61" spans="1:5" x14ac:dyDescent="0.25">
      <c r="A61" s="59" t="s">
        <v>83</v>
      </c>
      <c r="B61" s="54">
        <v>-12614.08</v>
      </c>
      <c r="C61" s="3" t="s">
        <v>81</v>
      </c>
    </row>
    <row r="62" spans="1:5" x14ac:dyDescent="0.25">
      <c r="A62" s="59" t="s">
        <v>125</v>
      </c>
      <c r="B62" s="54">
        <v>-15345.46</v>
      </c>
      <c r="C62" s="3" t="s">
        <v>124</v>
      </c>
    </row>
    <row r="63" spans="1:5" x14ac:dyDescent="0.25">
      <c r="A63" s="50" t="s">
        <v>135</v>
      </c>
      <c r="B63" s="51">
        <f>B65+B66+B68</f>
        <v>-69359.250000000087</v>
      </c>
      <c r="C63" s="3"/>
    </row>
    <row r="64" spans="1:5" x14ac:dyDescent="0.25">
      <c r="A64" s="52" t="s">
        <v>123</v>
      </c>
      <c r="B64" s="54"/>
      <c r="C64" s="3"/>
    </row>
    <row r="65" spans="1:5" x14ac:dyDescent="0.25">
      <c r="A65" t="s">
        <v>129</v>
      </c>
      <c r="B65" s="54">
        <f>D65-E65</f>
        <v>31053.779999999912</v>
      </c>
      <c r="C65" s="3" t="s">
        <v>86</v>
      </c>
      <c r="D65" s="2">
        <v>1042282.95</v>
      </c>
      <c r="E65" s="2">
        <v>1011229.17</v>
      </c>
    </row>
    <row r="66" spans="1:5" x14ac:dyDescent="0.25">
      <c r="A66" t="s">
        <v>130</v>
      </c>
      <c r="B66" s="54">
        <f>-(D66-E66)</f>
        <v>-35708.119999999995</v>
      </c>
      <c r="C66" s="3" t="s">
        <v>34</v>
      </c>
      <c r="D66" s="2">
        <v>172029.55</v>
      </c>
      <c r="E66" s="2">
        <v>136321.43</v>
      </c>
    </row>
    <row r="67" spans="1:5" x14ac:dyDescent="0.25">
      <c r="A67" t="s">
        <v>82</v>
      </c>
    </row>
    <row r="68" spans="1:5" x14ac:dyDescent="0.25">
      <c r="A68" t="s">
        <v>131</v>
      </c>
      <c r="B68" s="10">
        <v>-64704.91</v>
      </c>
      <c r="C68" t="s">
        <v>58</v>
      </c>
    </row>
    <row r="69" spans="1:5" ht="30" x14ac:dyDescent="0.25">
      <c r="A69" s="50" t="s">
        <v>136</v>
      </c>
      <c r="B69" s="51">
        <f>B44+B54+B57+B63</f>
        <v>-59896.140000000087</v>
      </c>
      <c r="C69" s="3"/>
    </row>
    <row r="71" spans="1:5" x14ac:dyDescent="0.25">
      <c r="B71" s="17"/>
    </row>
    <row r="72" spans="1:5" x14ac:dyDescent="0.25">
      <c r="A72" s="15" t="s">
        <v>22</v>
      </c>
      <c r="B72" s="15" t="s">
        <v>23</v>
      </c>
    </row>
    <row r="73" spans="1:5" x14ac:dyDescent="0.25">
      <c r="A73" t="s">
        <v>99</v>
      </c>
      <c r="B73" s="17">
        <f>B42</f>
        <v>537664.69000000006</v>
      </c>
    </row>
    <row r="74" spans="1:5" x14ac:dyDescent="0.25">
      <c r="A74" t="s">
        <v>100</v>
      </c>
      <c r="B74" s="17">
        <f>B69</f>
        <v>-59896.140000000087</v>
      </c>
    </row>
    <row r="75" spans="1:5" x14ac:dyDescent="0.25">
      <c r="A75" s="15" t="s">
        <v>101</v>
      </c>
      <c r="B75" s="19">
        <f>B73-B74</f>
        <v>597560.83000000019</v>
      </c>
      <c r="C75">
        <v>2025</v>
      </c>
      <c r="D75">
        <v>2024</v>
      </c>
    </row>
    <row r="76" spans="1:5" x14ac:dyDescent="0.25">
      <c r="A76" t="s">
        <v>161</v>
      </c>
      <c r="B76" s="37">
        <f>C76-D76</f>
        <v>158069.96</v>
      </c>
      <c r="C76" s="2">
        <v>162734.99</v>
      </c>
      <c r="D76" s="2">
        <v>4665.03</v>
      </c>
    </row>
    <row r="77" spans="1:5" x14ac:dyDescent="0.25">
      <c r="A77" s="93" t="s">
        <v>116</v>
      </c>
      <c r="B77" s="94">
        <f>B75-B76</f>
        <v>439490.87000000023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8E55-5145-43D0-B42C-833B08E88A2C}">
  <dimension ref="A1:G80"/>
  <sheetViews>
    <sheetView topLeftCell="B62" zoomScale="142" zoomScaleNormal="142" workbookViewId="0">
      <selection activeCell="C58" sqref="C58"/>
    </sheetView>
  </sheetViews>
  <sheetFormatPr defaultRowHeight="15" x14ac:dyDescent="0.25"/>
  <cols>
    <col min="2" max="2" width="47.5703125" customWidth="1"/>
    <col min="3" max="4" width="13.28515625" bestFit="1" customWidth="1"/>
    <col min="5" max="5" width="14" bestFit="1" customWidth="1"/>
    <col min="6" max="6" width="12.28515625" bestFit="1" customWidth="1"/>
    <col min="7" max="7" width="24.42578125" bestFit="1" customWidth="1"/>
  </cols>
  <sheetData>
    <row r="1" spans="2:7" x14ac:dyDescent="0.25">
      <c r="B1" s="12" t="s">
        <v>21</v>
      </c>
      <c r="C1" s="5">
        <v>2025</v>
      </c>
      <c r="D1" s="5">
        <v>2024</v>
      </c>
      <c r="E1" s="5" t="s">
        <v>0</v>
      </c>
    </row>
    <row r="2" spans="2:7" x14ac:dyDescent="0.25">
      <c r="B2" s="1" t="s">
        <v>3</v>
      </c>
      <c r="C2" s="9">
        <f>201022.54+69442.88</f>
        <v>270465.42000000004</v>
      </c>
      <c r="D2" s="9">
        <v>56127.31</v>
      </c>
      <c r="E2" t="s">
        <v>15</v>
      </c>
    </row>
    <row r="3" spans="2:7" x14ac:dyDescent="0.25">
      <c r="B3" s="1" t="s">
        <v>1</v>
      </c>
      <c r="C3" s="9">
        <f>SUM(C4:C7)</f>
        <v>221886.72</v>
      </c>
      <c r="D3" s="9">
        <f>SUM(D4:D7)</f>
        <v>172158.41</v>
      </c>
    </row>
    <row r="4" spans="2:7" x14ac:dyDescent="0.25">
      <c r="B4" s="3" t="s">
        <v>4</v>
      </c>
      <c r="C4" s="10">
        <v>152975.39000000001</v>
      </c>
      <c r="D4" s="10">
        <v>155871.43</v>
      </c>
      <c r="E4" t="s">
        <v>2</v>
      </c>
    </row>
    <row r="5" spans="2:7" x14ac:dyDescent="0.25">
      <c r="B5" s="3" t="s">
        <v>6</v>
      </c>
      <c r="C5" s="10">
        <v>40766</v>
      </c>
      <c r="D5" s="10">
        <v>7360</v>
      </c>
      <c r="E5" t="s">
        <v>5</v>
      </c>
      <c r="G5" t="s">
        <v>78</v>
      </c>
    </row>
    <row r="6" spans="2:7" x14ac:dyDescent="0.25">
      <c r="B6" s="3" t="s">
        <v>8</v>
      </c>
      <c r="C6" s="10">
        <v>12614.08</v>
      </c>
      <c r="D6" s="10">
        <v>8926.98</v>
      </c>
      <c r="E6" t="s">
        <v>7</v>
      </c>
    </row>
    <row r="7" spans="2:7" x14ac:dyDescent="0.25">
      <c r="B7" s="3" t="s">
        <v>11</v>
      </c>
      <c r="C7" s="10">
        <v>15531.25</v>
      </c>
      <c r="D7" s="10"/>
      <c r="E7" t="s">
        <v>10</v>
      </c>
      <c r="G7" s="2">
        <v>201022.54</v>
      </c>
    </row>
    <row r="8" spans="2:7" x14ac:dyDescent="0.25">
      <c r="B8" s="1" t="s">
        <v>12</v>
      </c>
      <c r="C8" s="9">
        <f>C9+C10</f>
        <v>-973.67</v>
      </c>
      <c r="D8" s="10"/>
      <c r="G8" s="2">
        <v>69442.880000000005</v>
      </c>
    </row>
    <row r="9" spans="2:7" x14ac:dyDescent="0.25">
      <c r="B9" s="3" t="s">
        <v>14</v>
      </c>
      <c r="C9" s="10">
        <f>-743.15</f>
        <v>-743.15</v>
      </c>
      <c r="D9" s="10"/>
      <c r="E9" t="s">
        <v>13</v>
      </c>
      <c r="G9" s="2">
        <v>15531.25</v>
      </c>
    </row>
    <row r="10" spans="2:7" x14ac:dyDescent="0.25">
      <c r="B10" s="3" t="s">
        <v>16</v>
      </c>
      <c r="C10" s="10">
        <f>-230.52</f>
        <v>-230.52</v>
      </c>
      <c r="D10" s="10"/>
      <c r="G10">
        <v>-743.15</v>
      </c>
    </row>
    <row r="11" spans="2:7" x14ac:dyDescent="0.25">
      <c r="B11" s="49" t="s">
        <v>56</v>
      </c>
      <c r="C11" s="9">
        <f>C2+C3+C8</f>
        <v>491378.47000000003</v>
      </c>
      <c r="D11" s="9">
        <f>D2+D3+D8</f>
        <v>228285.72</v>
      </c>
      <c r="G11" s="2">
        <f>SUM(G7:G10)</f>
        <v>285253.52</v>
      </c>
    </row>
    <row r="12" spans="2:7" x14ac:dyDescent="0.25">
      <c r="B12" s="1" t="s">
        <v>57</v>
      </c>
      <c r="C12" s="10">
        <v>64704.91</v>
      </c>
      <c r="D12" s="10">
        <v>62433.75</v>
      </c>
      <c r="E12" t="s">
        <v>58</v>
      </c>
      <c r="G12" s="2">
        <v>-69442.880000000005</v>
      </c>
    </row>
    <row r="13" spans="2:7" x14ac:dyDescent="0.25">
      <c r="B13" s="49" t="s">
        <v>18</v>
      </c>
      <c r="C13" s="10">
        <f>C11+C12</f>
        <v>556083.38</v>
      </c>
      <c r="D13" s="10">
        <f>D11+D12</f>
        <v>290719.46999999997</v>
      </c>
      <c r="G13" s="2">
        <v>-15531.25</v>
      </c>
    </row>
    <row r="14" spans="2:7" x14ac:dyDescent="0.25">
      <c r="B14" s="3" t="s">
        <v>20</v>
      </c>
      <c r="C14" s="10">
        <v>69442.880000000005</v>
      </c>
      <c r="D14" s="10">
        <v>17837.650000000001</v>
      </c>
      <c r="G14">
        <v>743.15</v>
      </c>
    </row>
    <row r="15" spans="2:7" x14ac:dyDescent="0.25">
      <c r="B15" s="1" t="s">
        <v>19</v>
      </c>
      <c r="C15" s="9">
        <f>C13-C14</f>
        <v>486640.5</v>
      </c>
      <c r="D15" s="9">
        <f>D13-D14</f>
        <v>272881.81999999995</v>
      </c>
      <c r="G15" s="2">
        <f>SUM(G11:G14)</f>
        <v>201022.54</v>
      </c>
    </row>
    <row r="18" spans="2:7" x14ac:dyDescent="0.25">
      <c r="B18" s="69" t="s">
        <v>19</v>
      </c>
      <c r="C18" s="70">
        <f>C15</f>
        <v>486640.5</v>
      </c>
    </row>
    <row r="19" spans="2:7" ht="30" x14ac:dyDescent="0.25">
      <c r="B19" s="34" t="s">
        <v>154</v>
      </c>
      <c r="C19" s="86">
        <f>C20+C21+C22</f>
        <v>-33188.21</v>
      </c>
      <c r="D19" s="24"/>
      <c r="E19" s="24"/>
      <c r="F19" s="25">
        <v>2025</v>
      </c>
      <c r="G19" s="25">
        <v>2024</v>
      </c>
    </row>
    <row r="20" spans="2:7" x14ac:dyDescent="0.25">
      <c r="B20" t="s">
        <v>137</v>
      </c>
      <c r="C20" s="28">
        <f>-(F20-G20)</f>
        <v>10904.419999999998</v>
      </c>
      <c r="D20" s="29" t="s">
        <v>29</v>
      </c>
      <c r="E20" s="29" t="s">
        <v>30</v>
      </c>
      <c r="F20" s="28">
        <v>36661.58</v>
      </c>
      <c r="G20" s="28">
        <v>47566</v>
      </c>
    </row>
    <row r="21" spans="2:7" x14ac:dyDescent="0.25">
      <c r="B21" t="s">
        <v>138</v>
      </c>
      <c r="C21" s="28">
        <f>-(F21-G21)</f>
        <v>-37523.25</v>
      </c>
      <c r="D21" s="29" t="s">
        <v>31</v>
      </c>
      <c r="E21" s="29" t="s">
        <v>30</v>
      </c>
      <c r="F21" s="28">
        <f>407047.76+131.61</f>
        <v>407179.37</v>
      </c>
      <c r="G21" s="28">
        <v>369656.12</v>
      </c>
    </row>
    <row r="22" spans="2:7" x14ac:dyDescent="0.25">
      <c r="B22" t="s">
        <v>139</v>
      </c>
      <c r="C22" s="28">
        <f>-(F22-G22)</f>
        <v>-6569.38</v>
      </c>
      <c r="D22" s="29" t="s">
        <v>32</v>
      </c>
      <c r="E22" s="29" t="s">
        <v>30</v>
      </c>
      <c r="F22" s="28">
        <v>6569.38</v>
      </c>
      <c r="G22" s="28">
        <v>0</v>
      </c>
    </row>
    <row r="23" spans="2:7" x14ac:dyDescent="0.25">
      <c r="B23" s="34" t="s">
        <v>140</v>
      </c>
      <c r="C23" s="86">
        <f>C24+C25+C26+C27+C28+C29</f>
        <v>174641.02</v>
      </c>
      <c r="F23" s="17"/>
      <c r="G23" s="17"/>
    </row>
    <row r="24" spans="2:7" x14ac:dyDescent="0.25">
      <c r="B24" s="29" t="s">
        <v>141</v>
      </c>
      <c r="C24" s="28">
        <f t="shared" ref="C24:C29" si="0">F24-G24</f>
        <v>-4182.1500000000233</v>
      </c>
      <c r="D24" s="29" t="s">
        <v>35</v>
      </c>
      <c r="E24" s="29" t="s">
        <v>30</v>
      </c>
      <c r="F24" s="28">
        <v>144903.82999999999</v>
      </c>
      <c r="G24" s="28">
        <v>149085.98000000001</v>
      </c>
    </row>
    <row r="25" spans="2:7" x14ac:dyDescent="0.25">
      <c r="B25" s="29" t="s">
        <v>143</v>
      </c>
      <c r="C25" s="28">
        <f t="shared" si="0"/>
        <v>8700</v>
      </c>
      <c r="D25" s="29" t="s">
        <v>142</v>
      </c>
      <c r="E25" s="29" t="s">
        <v>30</v>
      </c>
      <c r="F25" s="28">
        <v>13524.62</v>
      </c>
      <c r="G25" s="28">
        <v>4824.62</v>
      </c>
    </row>
    <row r="26" spans="2:7" x14ac:dyDescent="0.25">
      <c r="B26" s="29" t="s">
        <v>107</v>
      </c>
      <c r="C26" s="28">
        <f t="shared" si="0"/>
        <v>97249.21</v>
      </c>
      <c r="D26" s="29" t="s">
        <v>113</v>
      </c>
      <c r="E26" s="29" t="s">
        <v>30</v>
      </c>
      <c r="F26" s="28">
        <v>131834.63</v>
      </c>
      <c r="G26" s="28">
        <v>34585.42</v>
      </c>
    </row>
    <row r="27" spans="2:7" x14ac:dyDescent="0.25">
      <c r="B27" s="29" t="s">
        <v>146</v>
      </c>
      <c r="C27" s="28">
        <f t="shared" si="0"/>
        <v>1000</v>
      </c>
      <c r="D27" s="29" t="s">
        <v>36</v>
      </c>
      <c r="E27" s="29" t="s">
        <v>30</v>
      </c>
      <c r="F27" s="28">
        <v>1000</v>
      </c>
      <c r="G27" s="28">
        <v>0</v>
      </c>
    </row>
    <row r="28" spans="2:7" x14ac:dyDescent="0.25">
      <c r="B28" s="80" t="s">
        <v>144</v>
      </c>
      <c r="C28" s="17">
        <f t="shared" si="0"/>
        <v>69632.800000000003</v>
      </c>
      <c r="D28" s="29" t="s">
        <v>145</v>
      </c>
      <c r="F28" s="92">
        <v>69632.800000000003</v>
      </c>
      <c r="G28" s="92">
        <v>0</v>
      </c>
    </row>
    <row r="29" spans="2:7" x14ac:dyDescent="0.25">
      <c r="B29" s="80" t="s">
        <v>139</v>
      </c>
      <c r="C29" s="28">
        <f t="shared" si="0"/>
        <v>2241.16</v>
      </c>
      <c r="D29" s="29" t="s">
        <v>38</v>
      </c>
      <c r="E29" s="29" t="s">
        <v>30</v>
      </c>
      <c r="F29" s="28">
        <v>4490.54</v>
      </c>
      <c r="G29" s="28">
        <v>2249.38</v>
      </c>
    </row>
    <row r="30" spans="2:7" x14ac:dyDescent="0.25">
      <c r="B30" s="90" t="s">
        <v>82</v>
      </c>
      <c r="C30" s="9">
        <f>C31</f>
        <v>-40766</v>
      </c>
      <c r="D30" s="24"/>
      <c r="E30" s="24"/>
      <c r="F30" s="25"/>
      <c r="G30" s="25"/>
    </row>
    <row r="31" spans="2:7" ht="30" x14ac:dyDescent="0.25">
      <c r="B31" s="4" t="s">
        <v>6</v>
      </c>
      <c r="C31" s="10">
        <v>-40766</v>
      </c>
      <c r="D31" t="s">
        <v>5</v>
      </c>
      <c r="F31" s="10"/>
    </row>
    <row r="32" spans="2:7" x14ac:dyDescent="0.25">
      <c r="B32" s="81" t="s">
        <v>39</v>
      </c>
      <c r="C32" s="83">
        <f>C18+C19+C23+C30</f>
        <v>587327.30999999994</v>
      </c>
      <c r="D32" s="82"/>
      <c r="E32" s="82"/>
      <c r="F32" s="82"/>
    </row>
    <row r="34" spans="2:7" x14ac:dyDescent="0.25">
      <c r="B34" s="15" t="s">
        <v>55</v>
      </c>
    </row>
    <row r="35" spans="2:7" x14ac:dyDescent="0.25">
      <c r="B35" s="13" t="s">
        <v>49</v>
      </c>
      <c r="C35" s="13" t="s">
        <v>23</v>
      </c>
      <c r="D35" s="13" t="s">
        <v>24</v>
      </c>
      <c r="E35" s="13" t="s">
        <v>48</v>
      </c>
      <c r="F35">
        <v>2025</v>
      </c>
      <c r="G35">
        <v>2024</v>
      </c>
    </row>
    <row r="36" spans="2:7" x14ac:dyDescent="0.25">
      <c r="B36" s="15" t="s">
        <v>123</v>
      </c>
      <c r="C36" s="16">
        <f>C37+C38</f>
        <v>399073.10999999987</v>
      </c>
      <c r="D36" s="13"/>
      <c r="E36" s="13"/>
    </row>
    <row r="37" spans="2:7" x14ac:dyDescent="0.25">
      <c r="B37" s="3" t="s">
        <v>147</v>
      </c>
      <c r="C37" s="17">
        <f>(F37-G37)</f>
        <v>48133.52</v>
      </c>
      <c r="D37" t="s">
        <v>51</v>
      </c>
      <c r="E37" t="s">
        <v>45</v>
      </c>
      <c r="F37" s="2">
        <v>48133.52</v>
      </c>
      <c r="G37">
        <v>0</v>
      </c>
    </row>
    <row r="38" spans="2:7" x14ac:dyDescent="0.25">
      <c r="B38" s="3" t="s">
        <v>148</v>
      </c>
      <c r="C38" s="17">
        <f>F38-G38</f>
        <v>350939.58999999985</v>
      </c>
      <c r="D38" t="s">
        <v>46</v>
      </c>
      <c r="E38" t="s">
        <v>45</v>
      </c>
      <c r="F38" s="2">
        <v>1600763.4</v>
      </c>
      <c r="G38" s="2">
        <v>1249823.81</v>
      </c>
    </row>
    <row r="39" spans="2:7" x14ac:dyDescent="0.25">
      <c r="B39" s="1" t="s">
        <v>82</v>
      </c>
      <c r="C39" s="19">
        <f>C40+C41+C42</f>
        <v>-333648.71999999997</v>
      </c>
    </row>
    <row r="40" spans="2:7" x14ac:dyDescent="0.25">
      <c r="B40" t="s">
        <v>149</v>
      </c>
      <c r="C40" s="26">
        <v>-151310.91</v>
      </c>
      <c r="D40" t="s">
        <v>152</v>
      </c>
      <c r="E40" t="s">
        <v>52</v>
      </c>
    </row>
    <row r="41" spans="2:7" x14ac:dyDescent="0.25">
      <c r="B41" t="s">
        <v>150</v>
      </c>
      <c r="C41" s="26">
        <v>-1664.48</v>
      </c>
      <c r="D41" t="s">
        <v>43</v>
      </c>
    </row>
    <row r="42" spans="2:7" x14ac:dyDescent="0.25">
      <c r="B42" t="s">
        <v>61</v>
      </c>
      <c r="C42" s="2">
        <v>-180673.33</v>
      </c>
      <c r="D42" t="s">
        <v>65</v>
      </c>
    </row>
    <row r="43" spans="2:7" x14ac:dyDescent="0.25">
      <c r="B43" s="84" t="s">
        <v>151</v>
      </c>
      <c r="C43" s="85">
        <f>C36+C39</f>
        <v>65424.389999999898</v>
      </c>
      <c r="D43" s="82"/>
      <c r="E43" s="82"/>
      <c r="F43" s="82"/>
    </row>
    <row r="44" spans="2:7" x14ac:dyDescent="0.25">
      <c r="B44" s="14" t="s">
        <v>39</v>
      </c>
      <c r="C44" s="86">
        <f>C32</f>
        <v>587327.30999999994</v>
      </c>
    </row>
    <row r="45" spans="2:7" x14ac:dyDescent="0.25">
      <c r="B45" s="1" t="s">
        <v>151</v>
      </c>
      <c r="C45" s="19">
        <f>C43</f>
        <v>65424.389999999898</v>
      </c>
    </row>
    <row r="46" spans="2:7" x14ac:dyDescent="0.25">
      <c r="B46" s="84" t="s">
        <v>59</v>
      </c>
      <c r="C46" s="85">
        <f>C44-C45</f>
        <v>521902.92000000004</v>
      </c>
      <c r="D46" s="82"/>
      <c r="E46" s="82"/>
      <c r="F46" s="82"/>
    </row>
    <row r="49" spans="2:6" x14ac:dyDescent="0.25">
      <c r="B49" s="49" t="s">
        <v>49</v>
      </c>
      <c r="C49" s="49" t="s">
        <v>97</v>
      </c>
      <c r="D49" t="s">
        <v>98</v>
      </c>
      <c r="E49">
        <v>2025</v>
      </c>
      <c r="F49">
        <v>2024</v>
      </c>
    </row>
    <row r="50" spans="2:6" x14ac:dyDescent="0.25">
      <c r="B50" s="1" t="s">
        <v>93</v>
      </c>
      <c r="C50" s="19">
        <f>E50-F50</f>
        <v>320968.82000000007</v>
      </c>
      <c r="E50" s="2">
        <v>645456.80000000005</v>
      </c>
      <c r="F50" s="2">
        <v>324487.98</v>
      </c>
    </row>
    <row r="51" spans="2:6" x14ac:dyDescent="0.25">
      <c r="B51" s="3" t="s">
        <v>61</v>
      </c>
      <c r="C51" s="17">
        <f t="shared" ref="C51:C52" si="1">E51-F51</f>
        <v>180673.33</v>
      </c>
      <c r="D51" s="3" t="s">
        <v>65</v>
      </c>
      <c r="E51">
        <v>180673.33</v>
      </c>
      <c r="F51">
        <v>0</v>
      </c>
    </row>
    <row r="52" spans="2:6" x14ac:dyDescent="0.25">
      <c r="B52" s="3" t="s">
        <v>66</v>
      </c>
      <c r="C52" s="17">
        <f t="shared" si="1"/>
        <v>201603.73</v>
      </c>
      <c r="D52" s="3" t="s">
        <v>67</v>
      </c>
      <c r="E52">
        <v>201603.73</v>
      </c>
    </row>
    <row r="53" spans="2:6" x14ac:dyDescent="0.25">
      <c r="B53" s="3" t="s">
        <v>68</v>
      </c>
      <c r="C53" s="17">
        <f>E53-F53</f>
        <v>-80077.719999999972</v>
      </c>
      <c r="D53" s="3" t="s">
        <v>69</v>
      </c>
      <c r="E53" s="2">
        <v>194410.26</v>
      </c>
      <c r="F53" s="2">
        <v>274487.98</v>
      </c>
    </row>
    <row r="54" spans="2:6" x14ac:dyDescent="0.25">
      <c r="B54" s="3" t="s">
        <v>71</v>
      </c>
      <c r="C54" s="17">
        <f>E54-F54</f>
        <v>18769.48</v>
      </c>
      <c r="D54" s="3" t="s">
        <v>70</v>
      </c>
      <c r="E54" s="2">
        <v>18769.48</v>
      </c>
    </row>
    <row r="55" spans="2:6" x14ac:dyDescent="0.25">
      <c r="B55" s="50" t="s">
        <v>94</v>
      </c>
      <c r="C55" s="51">
        <f>C56+C57+C58</f>
        <v>-121175.34000000001</v>
      </c>
      <c r="D55" s="3"/>
    </row>
    <row r="56" spans="2:6" x14ac:dyDescent="0.25">
      <c r="B56" s="52" t="s">
        <v>72</v>
      </c>
      <c r="C56" s="53">
        <v>-201022.54</v>
      </c>
      <c r="D56" s="3" t="s">
        <v>73</v>
      </c>
    </row>
    <row r="57" spans="2:6" x14ac:dyDescent="0.25">
      <c r="B57" t="s">
        <v>74</v>
      </c>
      <c r="C57" s="54">
        <v>80077.72</v>
      </c>
      <c r="D57" s="3" t="s">
        <v>75</v>
      </c>
    </row>
    <row r="58" spans="2:6" x14ac:dyDescent="0.25">
      <c r="B58" s="52" t="s">
        <v>76</v>
      </c>
      <c r="C58" s="54">
        <f>-230.52</f>
        <v>-230.52</v>
      </c>
      <c r="D58" s="3" t="s">
        <v>77</v>
      </c>
    </row>
    <row r="59" spans="2:6" ht="30" x14ac:dyDescent="0.25">
      <c r="B59" s="50" t="s">
        <v>95</v>
      </c>
      <c r="C59" s="51">
        <f>C50+C55</f>
        <v>199793.48000000004</v>
      </c>
      <c r="D59" s="3"/>
    </row>
    <row r="60" spans="2:6" x14ac:dyDescent="0.25">
      <c r="B60" s="50" t="s">
        <v>156</v>
      </c>
      <c r="C60" s="54">
        <f>E60-F60</f>
        <v>27959.539999999997</v>
      </c>
      <c r="D60" s="3" t="s">
        <v>79</v>
      </c>
      <c r="E60" s="2">
        <v>36886.519999999997</v>
      </c>
      <c r="F60" s="2">
        <v>8926.98</v>
      </c>
    </row>
    <row r="61" spans="2:6" x14ac:dyDescent="0.25">
      <c r="B61" t="s">
        <v>82</v>
      </c>
      <c r="C61" s="54"/>
      <c r="D61" s="3"/>
    </row>
    <row r="62" spans="2:6" x14ac:dyDescent="0.25">
      <c r="B62" s="52" t="s">
        <v>83</v>
      </c>
      <c r="C62" s="54">
        <v>-12614.08</v>
      </c>
      <c r="D62" s="3" t="s">
        <v>81</v>
      </c>
    </row>
    <row r="63" spans="2:6" x14ac:dyDescent="0.25">
      <c r="B63" s="52" t="s">
        <v>84</v>
      </c>
      <c r="C63" s="54">
        <v>743.15</v>
      </c>
      <c r="D63" s="3" t="s">
        <v>13</v>
      </c>
    </row>
    <row r="64" spans="2:6" x14ac:dyDescent="0.25">
      <c r="B64" s="52" t="s">
        <v>85</v>
      </c>
      <c r="C64" s="54">
        <v>-15531.25</v>
      </c>
      <c r="D64" s="3" t="s">
        <v>10</v>
      </c>
    </row>
    <row r="65" spans="1:6" ht="30" x14ac:dyDescent="0.25">
      <c r="B65" s="50" t="s">
        <v>90</v>
      </c>
      <c r="C65" s="51">
        <f>SUM(C60:C64)</f>
        <v>557.35999999999694</v>
      </c>
      <c r="D65" s="3"/>
    </row>
    <row r="66" spans="1:6" ht="30" x14ac:dyDescent="0.25">
      <c r="A66" t="s">
        <v>157</v>
      </c>
      <c r="B66" s="52" t="s">
        <v>159</v>
      </c>
      <c r="C66" s="54">
        <v>-64704.91</v>
      </c>
      <c r="D66" s="3" t="s">
        <v>160</v>
      </c>
    </row>
    <row r="67" spans="1:6" x14ac:dyDescent="0.25">
      <c r="A67" t="s">
        <v>158</v>
      </c>
      <c r="B67" t="s">
        <v>87</v>
      </c>
      <c r="C67" s="54">
        <f>E67-F67</f>
        <v>31053.779999999912</v>
      </c>
      <c r="D67" s="3" t="s">
        <v>86</v>
      </c>
      <c r="E67" s="2">
        <v>1042282.95</v>
      </c>
      <c r="F67" s="2">
        <v>1011229.17</v>
      </c>
    </row>
    <row r="68" spans="1:6" x14ac:dyDescent="0.25">
      <c r="B68" t="s">
        <v>88</v>
      </c>
      <c r="C68" s="54">
        <f>E68-F68</f>
        <v>35708.119999999995</v>
      </c>
      <c r="D68" s="3" t="s">
        <v>34</v>
      </c>
      <c r="E68" s="2">
        <v>172029.55</v>
      </c>
      <c r="F68" s="2">
        <v>136321.43</v>
      </c>
    </row>
    <row r="69" spans="1:6" x14ac:dyDescent="0.25">
      <c r="B69" t="s">
        <v>63</v>
      </c>
      <c r="C69" s="54">
        <v>69632.800000000003</v>
      </c>
      <c r="D69" s="3" t="s">
        <v>64</v>
      </c>
    </row>
    <row r="70" spans="1:6" x14ac:dyDescent="0.25">
      <c r="B70" t="s">
        <v>82</v>
      </c>
      <c r="C70" s="54"/>
      <c r="D70" s="3"/>
    </row>
    <row r="71" spans="1:6" x14ac:dyDescent="0.25">
      <c r="B71" s="52" t="s">
        <v>89</v>
      </c>
      <c r="C71" s="54">
        <v>-80077.72</v>
      </c>
      <c r="D71" s="3" t="s">
        <v>75</v>
      </c>
    </row>
    <row r="72" spans="1:6" ht="30" x14ac:dyDescent="0.25">
      <c r="B72" s="50" t="s">
        <v>91</v>
      </c>
      <c r="C72" s="51">
        <f>SUM(C66:C71)</f>
        <v>-8387.9300000000949</v>
      </c>
      <c r="D72" s="55"/>
    </row>
    <row r="73" spans="1:6" x14ac:dyDescent="0.25">
      <c r="B73" s="56" t="s">
        <v>92</v>
      </c>
      <c r="C73" s="51">
        <f>C59+C65+C72</f>
        <v>191962.90999999992</v>
      </c>
    </row>
    <row r="75" spans="1:6" x14ac:dyDescent="0.25">
      <c r="B75" s="15" t="s">
        <v>22</v>
      </c>
      <c r="C75" s="15" t="s">
        <v>23</v>
      </c>
    </row>
    <row r="76" spans="1:6" x14ac:dyDescent="0.25">
      <c r="B76" t="s">
        <v>99</v>
      </c>
      <c r="C76" s="17">
        <f>C46</f>
        <v>521902.92000000004</v>
      </c>
    </row>
    <row r="77" spans="1:6" x14ac:dyDescent="0.25">
      <c r="B77" t="s">
        <v>100</v>
      </c>
      <c r="C77" s="17">
        <f>C73</f>
        <v>191962.90999999992</v>
      </c>
    </row>
    <row r="78" spans="1:6" x14ac:dyDescent="0.25">
      <c r="B78" s="15" t="s">
        <v>101</v>
      </c>
      <c r="C78" s="19">
        <f>C76-C77</f>
        <v>329940.01000000013</v>
      </c>
      <c r="D78">
        <v>2025</v>
      </c>
      <c r="E78">
        <v>2024</v>
      </c>
    </row>
    <row r="79" spans="1:6" x14ac:dyDescent="0.25">
      <c r="B79" t="s">
        <v>161</v>
      </c>
      <c r="C79" s="37">
        <f>D79-E79</f>
        <v>158069.96</v>
      </c>
      <c r="D79" s="2">
        <v>162734.99</v>
      </c>
      <c r="E79" s="2">
        <v>4665.03</v>
      </c>
    </row>
    <row r="80" spans="1:6" x14ac:dyDescent="0.25">
      <c r="B80" s="93" t="s">
        <v>116</v>
      </c>
      <c r="C80" s="94">
        <f>C78-C79</f>
        <v>171870.05000000013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6961-7EB9-48E8-A476-CEAC77C2B45E}">
  <dimension ref="A1:G85"/>
  <sheetViews>
    <sheetView topLeftCell="A29" zoomScale="142" zoomScaleNormal="142" workbookViewId="0">
      <selection activeCell="C33" sqref="C33"/>
    </sheetView>
  </sheetViews>
  <sheetFormatPr defaultRowHeight="15" x14ac:dyDescent="0.25"/>
  <cols>
    <col min="2" max="2" width="47.5703125" customWidth="1"/>
    <col min="3" max="4" width="13.28515625" bestFit="1" customWidth="1"/>
    <col min="5" max="5" width="14" bestFit="1" customWidth="1"/>
    <col min="6" max="6" width="12.28515625" bestFit="1" customWidth="1"/>
    <col min="7" max="7" width="24.42578125" bestFit="1" customWidth="1"/>
  </cols>
  <sheetData>
    <row r="1" spans="2:7" x14ac:dyDescent="0.25">
      <c r="B1" s="12" t="s">
        <v>21</v>
      </c>
      <c r="C1" s="5">
        <v>2025</v>
      </c>
      <c r="D1" s="5">
        <v>2024</v>
      </c>
      <c r="E1" s="5" t="s">
        <v>0</v>
      </c>
    </row>
    <row r="2" spans="2:7" x14ac:dyDescent="0.25">
      <c r="B2" s="1" t="s">
        <v>3</v>
      </c>
      <c r="C2" s="9">
        <v>285253.52</v>
      </c>
      <c r="D2" s="9">
        <v>56127.31</v>
      </c>
      <c r="E2" t="s">
        <v>162</v>
      </c>
    </row>
    <row r="3" spans="2:7" x14ac:dyDescent="0.25">
      <c r="B3" s="1" t="s">
        <v>1</v>
      </c>
      <c r="C3" s="9">
        <f>SUM(C4:C8)</f>
        <v>226533.33</v>
      </c>
      <c r="D3" s="9">
        <f>SUM(D4:D7)</f>
        <v>172158.41</v>
      </c>
    </row>
    <row r="4" spans="2:7" x14ac:dyDescent="0.25">
      <c r="B4" s="3" t="s">
        <v>4</v>
      </c>
      <c r="C4" s="10">
        <v>152975.39000000001</v>
      </c>
      <c r="D4" s="10">
        <v>155871.43</v>
      </c>
      <c r="E4" t="s">
        <v>2</v>
      </c>
    </row>
    <row r="5" spans="2:7" x14ac:dyDescent="0.25">
      <c r="B5" s="3" t="s">
        <v>6</v>
      </c>
      <c r="C5" s="10">
        <v>40766</v>
      </c>
      <c r="D5" s="10">
        <v>7360</v>
      </c>
      <c r="E5" t="s">
        <v>5</v>
      </c>
      <c r="G5" t="s">
        <v>78</v>
      </c>
    </row>
    <row r="6" spans="2:7" x14ac:dyDescent="0.25">
      <c r="B6" s="3" t="s">
        <v>8</v>
      </c>
      <c r="C6" s="10">
        <v>12614.08</v>
      </c>
      <c r="D6" s="10">
        <v>8926.98</v>
      </c>
      <c r="E6" t="s">
        <v>7</v>
      </c>
    </row>
    <row r="7" spans="2:7" x14ac:dyDescent="0.25">
      <c r="B7" s="3" t="s">
        <v>11</v>
      </c>
      <c r="C7" s="10">
        <v>15531.25</v>
      </c>
      <c r="D7" s="10"/>
      <c r="E7" t="s">
        <v>10</v>
      </c>
      <c r="G7" s="2">
        <v>201022.54</v>
      </c>
    </row>
    <row r="8" spans="2:7" x14ac:dyDescent="0.25">
      <c r="B8" s="3" t="s">
        <v>165</v>
      </c>
      <c r="C8" s="10">
        <v>4646.6099999999997</v>
      </c>
      <c r="D8" s="10"/>
      <c r="G8" s="2"/>
    </row>
    <row r="9" spans="2:7" x14ac:dyDescent="0.25">
      <c r="B9" s="1" t="s">
        <v>12</v>
      </c>
      <c r="C9" s="9">
        <f>C10+C11</f>
        <v>-973.67</v>
      </c>
      <c r="D9" s="10"/>
      <c r="G9" s="2">
        <v>69442.880000000005</v>
      </c>
    </row>
    <row r="10" spans="2:7" x14ac:dyDescent="0.25">
      <c r="B10" s="3" t="s">
        <v>14</v>
      </c>
      <c r="C10" s="10">
        <f>-743.15</f>
        <v>-743.15</v>
      </c>
      <c r="D10" s="10"/>
      <c r="E10" t="s">
        <v>13</v>
      </c>
      <c r="G10" s="2">
        <v>15531.25</v>
      </c>
    </row>
    <row r="11" spans="2:7" x14ac:dyDescent="0.25">
      <c r="B11" s="3" t="s">
        <v>16</v>
      </c>
      <c r="C11" s="10">
        <f>-230.52</f>
        <v>-230.52</v>
      </c>
      <c r="D11" s="10"/>
      <c r="G11">
        <v>-743.15</v>
      </c>
    </row>
    <row r="12" spans="2:7" x14ac:dyDescent="0.25">
      <c r="B12" s="49" t="s">
        <v>56</v>
      </c>
      <c r="C12" s="9">
        <f>C2+C3+C9</f>
        <v>510813.18</v>
      </c>
      <c r="D12" s="9">
        <f>D2+D3+D9</f>
        <v>228285.72</v>
      </c>
      <c r="G12" s="2">
        <f>SUM(G7:G11)</f>
        <v>285253.52</v>
      </c>
    </row>
    <row r="13" spans="2:7" x14ac:dyDescent="0.25">
      <c r="B13" s="1" t="s">
        <v>57</v>
      </c>
      <c r="C13" s="10">
        <v>64704.91</v>
      </c>
      <c r="D13" s="10">
        <v>62433.75</v>
      </c>
      <c r="E13" t="s">
        <v>58</v>
      </c>
      <c r="G13" s="2">
        <v>-69442.880000000005</v>
      </c>
    </row>
    <row r="14" spans="2:7" x14ac:dyDescent="0.25">
      <c r="B14" s="49" t="s">
        <v>18</v>
      </c>
      <c r="C14" s="10">
        <f>C12+C13</f>
        <v>575518.09</v>
      </c>
      <c r="D14" s="10">
        <f>D12+D13</f>
        <v>290719.46999999997</v>
      </c>
      <c r="G14" s="2">
        <v>-15531.25</v>
      </c>
    </row>
    <row r="15" spans="2:7" x14ac:dyDescent="0.25">
      <c r="B15" s="3" t="s">
        <v>20</v>
      </c>
      <c r="C15" s="10">
        <v>69442.880000000005</v>
      </c>
      <c r="D15" s="10">
        <v>17837.650000000001</v>
      </c>
      <c r="G15">
        <v>743.15</v>
      </c>
    </row>
    <row r="16" spans="2:7" x14ac:dyDescent="0.25">
      <c r="B16" s="1" t="s">
        <v>19</v>
      </c>
      <c r="C16" s="9">
        <f>C14-C15</f>
        <v>506075.20999999996</v>
      </c>
      <c r="D16" s="9">
        <f>D14-D15</f>
        <v>272881.81999999995</v>
      </c>
      <c r="G16" s="2">
        <f>SUM(G12:G15)</f>
        <v>201022.54</v>
      </c>
    </row>
    <row r="17" spans="2:7" x14ac:dyDescent="0.25">
      <c r="G17" s="10"/>
    </row>
    <row r="19" spans="2:7" x14ac:dyDescent="0.25">
      <c r="B19" s="69" t="s">
        <v>19</v>
      </c>
      <c r="C19" s="70">
        <f>C16</f>
        <v>506075.20999999996</v>
      </c>
    </row>
    <row r="20" spans="2:7" ht="30" x14ac:dyDescent="0.25">
      <c r="B20" s="34" t="s">
        <v>154</v>
      </c>
      <c r="C20" s="86">
        <f>C21+C22+C23</f>
        <v>-33188.21</v>
      </c>
      <c r="D20" s="24"/>
      <c r="E20" s="24"/>
      <c r="F20" s="25">
        <v>2025</v>
      </c>
      <c r="G20" s="25">
        <v>2024</v>
      </c>
    </row>
    <row r="21" spans="2:7" x14ac:dyDescent="0.25">
      <c r="B21" t="s">
        <v>137</v>
      </c>
      <c r="C21" s="28">
        <f>-(F21-G21)</f>
        <v>10904.419999999998</v>
      </c>
      <c r="D21" s="29" t="s">
        <v>29</v>
      </c>
      <c r="E21" s="29" t="s">
        <v>30</v>
      </c>
      <c r="F21" s="28">
        <v>36661.58</v>
      </c>
      <c r="G21" s="28">
        <v>47566</v>
      </c>
    </row>
    <row r="22" spans="2:7" x14ac:dyDescent="0.25">
      <c r="B22" t="s">
        <v>138</v>
      </c>
      <c r="C22" s="28">
        <f>-(F22-G22)</f>
        <v>-37523.25</v>
      </c>
      <c r="D22" s="29" t="s">
        <v>31</v>
      </c>
      <c r="E22" s="29" t="s">
        <v>30</v>
      </c>
      <c r="F22" s="28">
        <f>407047.76+131.61</f>
        <v>407179.37</v>
      </c>
      <c r="G22" s="28">
        <v>369656.12</v>
      </c>
    </row>
    <row r="23" spans="2:7" x14ac:dyDescent="0.25">
      <c r="B23" t="s">
        <v>139</v>
      </c>
      <c r="C23" s="28">
        <f>-(F23-G23)</f>
        <v>-6569.38</v>
      </c>
      <c r="D23" s="29" t="s">
        <v>32</v>
      </c>
      <c r="E23" s="29" t="s">
        <v>30</v>
      </c>
      <c r="F23" s="28">
        <v>6569.38</v>
      </c>
      <c r="G23" s="28">
        <v>0</v>
      </c>
    </row>
    <row r="24" spans="2:7" x14ac:dyDescent="0.25">
      <c r="B24" s="34" t="s">
        <v>140</v>
      </c>
      <c r="C24" s="86">
        <f>C25+C26+C27+C28+C29+C30</f>
        <v>105008.21999999999</v>
      </c>
      <c r="F24" s="17"/>
      <c r="G24" s="17"/>
    </row>
    <row r="25" spans="2:7" x14ac:dyDescent="0.25">
      <c r="B25" s="29" t="s">
        <v>141</v>
      </c>
      <c r="C25" s="28">
        <f t="shared" ref="C25:C30" si="0">F25-G25</f>
        <v>-4182.1500000000233</v>
      </c>
      <c r="D25" s="29" t="s">
        <v>35</v>
      </c>
      <c r="E25" s="29" t="s">
        <v>30</v>
      </c>
      <c r="F25" s="28">
        <v>144903.82999999999</v>
      </c>
      <c r="G25" s="28">
        <v>149085.98000000001</v>
      </c>
    </row>
    <row r="26" spans="2:7" x14ac:dyDescent="0.25">
      <c r="B26" s="29" t="s">
        <v>143</v>
      </c>
      <c r="C26" s="28">
        <f t="shared" si="0"/>
        <v>8700</v>
      </c>
      <c r="D26" s="29" t="s">
        <v>142</v>
      </c>
      <c r="E26" s="29" t="s">
        <v>30</v>
      </c>
      <c r="F26" s="28">
        <v>13524.62</v>
      </c>
      <c r="G26" s="28">
        <v>4824.62</v>
      </c>
    </row>
    <row r="27" spans="2:7" x14ac:dyDescent="0.25">
      <c r="B27" s="29" t="s">
        <v>107</v>
      </c>
      <c r="C27" s="28">
        <f t="shared" si="0"/>
        <v>97249.21</v>
      </c>
      <c r="D27" s="29" t="s">
        <v>113</v>
      </c>
      <c r="E27" s="29" t="s">
        <v>30</v>
      </c>
      <c r="F27" s="28">
        <v>131834.63</v>
      </c>
      <c r="G27" s="28">
        <v>34585.42</v>
      </c>
    </row>
    <row r="28" spans="2:7" x14ac:dyDescent="0.25">
      <c r="B28" s="29" t="s">
        <v>146</v>
      </c>
      <c r="C28" s="28">
        <f t="shared" si="0"/>
        <v>1000</v>
      </c>
      <c r="D28" s="29" t="s">
        <v>36</v>
      </c>
      <c r="E28" s="29" t="s">
        <v>30</v>
      </c>
      <c r="F28" s="28">
        <v>1000</v>
      </c>
      <c r="G28" s="28">
        <v>0</v>
      </c>
    </row>
    <row r="29" spans="2:7" x14ac:dyDescent="0.25">
      <c r="B29" s="80" t="s">
        <v>144</v>
      </c>
      <c r="C29" s="17"/>
      <c r="D29" s="29" t="s">
        <v>145</v>
      </c>
      <c r="F29" s="92">
        <v>69632.800000000003</v>
      </c>
      <c r="G29" s="92">
        <v>0</v>
      </c>
    </row>
    <row r="30" spans="2:7" x14ac:dyDescent="0.25">
      <c r="B30" s="80" t="s">
        <v>139</v>
      </c>
      <c r="C30" s="28">
        <f t="shared" si="0"/>
        <v>2241.16</v>
      </c>
      <c r="D30" s="29" t="s">
        <v>38</v>
      </c>
      <c r="E30" s="29" t="s">
        <v>30</v>
      </c>
      <c r="F30" s="28">
        <v>4490.54</v>
      </c>
      <c r="G30" s="28">
        <v>2249.38</v>
      </c>
    </row>
    <row r="31" spans="2:7" x14ac:dyDescent="0.25">
      <c r="B31" s="90" t="s">
        <v>82</v>
      </c>
      <c r="C31" s="9">
        <f>C32+C33</f>
        <v>-45412.61</v>
      </c>
      <c r="D31" s="24"/>
      <c r="E31" s="24"/>
      <c r="F31" s="25"/>
      <c r="G31" s="25"/>
    </row>
    <row r="32" spans="2:7" x14ac:dyDescent="0.25">
      <c r="B32" s="4" t="s">
        <v>166</v>
      </c>
      <c r="C32" s="10">
        <v>-40766</v>
      </c>
      <c r="D32" t="s">
        <v>169</v>
      </c>
      <c r="F32" s="10"/>
    </row>
    <row r="33" spans="2:7" x14ac:dyDescent="0.25">
      <c r="B33" s="4" t="s">
        <v>167</v>
      </c>
      <c r="C33" s="10">
        <f>-C8</f>
        <v>-4646.6099999999997</v>
      </c>
      <c r="D33" t="s">
        <v>168</v>
      </c>
      <c r="F33" s="10"/>
    </row>
    <row r="34" spans="2:7" x14ac:dyDescent="0.25">
      <c r="B34" s="81" t="s">
        <v>39</v>
      </c>
      <c r="C34" s="83">
        <f>C19+C20+C24+C31</f>
        <v>532482.61</v>
      </c>
      <c r="D34" s="82"/>
      <c r="E34" s="82"/>
      <c r="F34" s="82"/>
    </row>
    <row r="36" spans="2:7" x14ac:dyDescent="0.25">
      <c r="B36" s="15" t="s">
        <v>55</v>
      </c>
    </row>
    <row r="37" spans="2:7" x14ac:dyDescent="0.25">
      <c r="B37" s="13" t="s">
        <v>49</v>
      </c>
      <c r="C37" s="13" t="s">
        <v>23</v>
      </c>
      <c r="D37" s="13" t="s">
        <v>24</v>
      </c>
      <c r="E37" s="13" t="s">
        <v>48</v>
      </c>
      <c r="F37">
        <v>2025</v>
      </c>
      <c r="G37">
        <v>2024</v>
      </c>
    </row>
    <row r="38" spans="2:7" x14ac:dyDescent="0.25">
      <c r="B38" s="15" t="s">
        <v>123</v>
      </c>
      <c r="C38" s="16">
        <f>C39+C40</f>
        <v>399073.10999999987</v>
      </c>
      <c r="D38" s="13"/>
      <c r="E38" s="13"/>
    </row>
    <row r="39" spans="2:7" x14ac:dyDescent="0.25">
      <c r="B39" s="3" t="s">
        <v>147</v>
      </c>
      <c r="C39" s="17">
        <f>(F39-G39)</f>
        <v>48133.52</v>
      </c>
      <c r="D39" t="s">
        <v>51</v>
      </c>
      <c r="E39" t="s">
        <v>45</v>
      </c>
      <c r="F39" s="2">
        <v>48133.52</v>
      </c>
      <c r="G39">
        <v>0</v>
      </c>
    </row>
    <row r="40" spans="2:7" x14ac:dyDescent="0.25">
      <c r="B40" s="3" t="s">
        <v>148</v>
      </c>
      <c r="C40" s="17">
        <f>F40-G40</f>
        <v>350939.58999999985</v>
      </c>
      <c r="D40" t="s">
        <v>46</v>
      </c>
      <c r="E40" t="s">
        <v>45</v>
      </c>
      <c r="F40" s="2">
        <v>1600763.4</v>
      </c>
      <c r="G40" s="2">
        <v>1249823.81</v>
      </c>
    </row>
    <row r="41" spans="2:7" x14ac:dyDescent="0.25">
      <c r="B41" s="1" t="s">
        <v>82</v>
      </c>
      <c r="C41" s="19">
        <f>C42+C43+C44+G45</f>
        <v>-271523.71999999997</v>
      </c>
    </row>
    <row r="42" spans="2:7" x14ac:dyDescent="0.25">
      <c r="B42" t="s">
        <v>149</v>
      </c>
      <c r="C42" s="26">
        <v>-151310.91</v>
      </c>
      <c r="D42" t="s">
        <v>152</v>
      </c>
      <c r="E42" t="s">
        <v>52</v>
      </c>
    </row>
    <row r="43" spans="2:7" x14ac:dyDescent="0.25">
      <c r="B43" t="s">
        <v>150</v>
      </c>
      <c r="C43" s="26">
        <v>-1664.48</v>
      </c>
      <c r="D43" t="s">
        <v>43</v>
      </c>
    </row>
    <row r="44" spans="2:7" x14ac:dyDescent="0.25">
      <c r="B44" t="s">
        <v>61</v>
      </c>
      <c r="C44" s="2">
        <v>-180673.33</v>
      </c>
      <c r="D44" t="s">
        <v>65</v>
      </c>
    </row>
    <row r="45" spans="2:7" x14ac:dyDescent="0.25">
      <c r="B45" s="6" t="s">
        <v>163</v>
      </c>
      <c r="G45" s="40">
        <v>62125</v>
      </c>
    </row>
    <row r="46" spans="2:7" x14ac:dyDescent="0.25">
      <c r="B46" s="84" t="s">
        <v>151</v>
      </c>
      <c r="C46" s="85">
        <f>C38+C41</f>
        <v>127549.3899999999</v>
      </c>
      <c r="D46" s="82"/>
      <c r="E46" s="82"/>
      <c r="F46" s="82"/>
    </row>
    <row r="47" spans="2:7" x14ac:dyDescent="0.25">
      <c r="B47" s="14" t="s">
        <v>39</v>
      </c>
      <c r="C47" s="86">
        <f>C34</f>
        <v>532482.61</v>
      </c>
    </row>
    <row r="48" spans="2:7" x14ac:dyDescent="0.25">
      <c r="B48" s="1" t="s">
        <v>151</v>
      </c>
      <c r="C48" s="19">
        <f>C46</f>
        <v>127549.3899999999</v>
      </c>
    </row>
    <row r="49" spans="2:7" x14ac:dyDescent="0.25">
      <c r="B49" s="84" t="s">
        <v>59</v>
      </c>
      <c r="C49" s="85">
        <f>C47-C48</f>
        <v>404933.22000000009</v>
      </c>
      <c r="D49" s="82"/>
      <c r="E49" s="82"/>
      <c r="F49" s="82"/>
    </row>
    <row r="52" spans="2:7" x14ac:dyDescent="0.25">
      <c r="B52" s="49" t="s">
        <v>49</v>
      </c>
      <c r="C52" s="49" t="s">
        <v>97</v>
      </c>
      <c r="D52" t="s">
        <v>98</v>
      </c>
      <c r="E52">
        <v>2025</v>
      </c>
      <c r="F52">
        <v>2024</v>
      </c>
    </row>
    <row r="53" spans="2:7" x14ac:dyDescent="0.25">
      <c r="B53" s="1" t="s">
        <v>93</v>
      </c>
      <c r="C53" s="19">
        <f>E53-F53</f>
        <v>320968.82000000007</v>
      </c>
      <c r="E53" s="2">
        <v>645456.80000000005</v>
      </c>
      <c r="F53" s="2">
        <v>324487.98</v>
      </c>
      <c r="G53" s="17"/>
    </row>
    <row r="54" spans="2:7" x14ac:dyDescent="0.25">
      <c r="B54" s="3" t="s">
        <v>61</v>
      </c>
      <c r="C54" s="17">
        <f t="shared" ref="C54" si="1">E54-F54</f>
        <v>180673.33</v>
      </c>
      <c r="D54" s="3" t="s">
        <v>65</v>
      </c>
      <c r="E54">
        <v>180673.33</v>
      </c>
      <c r="F54">
        <v>0</v>
      </c>
      <c r="G54" s="17"/>
    </row>
    <row r="55" spans="2:7" x14ac:dyDescent="0.25">
      <c r="B55" s="3" t="s">
        <v>66</v>
      </c>
      <c r="C55" s="17">
        <v>201603.73</v>
      </c>
      <c r="D55" s="3" t="s">
        <v>67</v>
      </c>
      <c r="E55">
        <v>201603.73</v>
      </c>
      <c r="G55" s="17"/>
    </row>
    <row r="56" spans="2:7" x14ac:dyDescent="0.25">
      <c r="B56" s="3" t="s">
        <v>68</v>
      </c>
      <c r="C56" s="17">
        <f>E56-F56</f>
        <v>-80077.719999999972</v>
      </c>
      <c r="D56" s="3" t="s">
        <v>69</v>
      </c>
      <c r="E56" s="2">
        <v>194410.26</v>
      </c>
      <c r="F56" s="2">
        <v>274487.98</v>
      </c>
    </row>
    <row r="57" spans="2:7" x14ac:dyDescent="0.25">
      <c r="B57" s="3" t="s">
        <v>71</v>
      </c>
      <c r="C57" s="17">
        <f>E57-F57</f>
        <v>18769.48</v>
      </c>
      <c r="D57" s="3" t="s">
        <v>70</v>
      </c>
      <c r="E57" s="2">
        <v>18769.48</v>
      </c>
      <c r="G57" s="17"/>
    </row>
    <row r="58" spans="2:7" x14ac:dyDescent="0.25">
      <c r="B58" s="50" t="s">
        <v>94</v>
      </c>
      <c r="C58" s="51">
        <f>C59+C60+C61</f>
        <v>-121175.34000000001</v>
      </c>
      <c r="D58" s="3"/>
    </row>
    <row r="59" spans="2:7" x14ac:dyDescent="0.25">
      <c r="B59" s="52" t="s">
        <v>72</v>
      </c>
      <c r="C59" s="53">
        <v>-201022.54</v>
      </c>
      <c r="D59" s="3" t="s">
        <v>73</v>
      </c>
    </row>
    <row r="60" spans="2:7" x14ac:dyDescent="0.25">
      <c r="B60" t="s">
        <v>74</v>
      </c>
      <c r="C60" s="54">
        <v>80077.72</v>
      </c>
      <c r="D60" s="3" t="s">
        <v>75</v>
      </c>
    </row>
    <row r="61" spans="2:7" x14ac:dyDescent="0.25">
      <c r="B61" s="52" t="s">
        <v>76</v>
      </c>
      <c r="C61" s="54">
        <f>-230.52</f>
        <v>-230.52</v>
      </c>
      <c r="D61" s="3" t="s">
        <v>77</v>
      </c>
    </row>
    <row r="62" spans="2:7" ht="30" x14ac:dyDescent="0.25">
      <c r="B62" s="50" t="s">
        <v>95</v>
      </c>
      <c r="C62" s="51">
        <f>C53+C58</f>
        <v>199793.48000000004</v>
      </c>
      <c r="D62" s="3"/>
    </row>
    <row r="63" spans="2:7" x14ac:dyDescent="0.25">
      <c r="B63" s="50" t="s">
        <v>156</v>
      </c>
      <c r="C63" s="54">
        <f>E63-F63</f>
        <v>27959.539999999997</v>
      </c>
      <c r="D63" s="3" t="s">
        <v>79</v>
      </c>
      <c r="E63" s="2">
        <v>36886.519999999997</v>
      </c>
      <c r="F63" s="2">
        <v>8926.98</v>
      </c>
    </row>
    <row r="64" spans="2:7" x14ac:dyDescent="0.25">
      <c r="B64" t="s">
        <v>82</v>
      </c>
      <c r="C64" s="54"/>
      <c r="D64" s="3"/>
    </row>
    <row r="65" spans="1:6" x14ac:dyDescent="0.25">
      <c r="B65" s="52" t="s">
        <v>83</v>
      </c>
      <c r="C65" s="54">
        <v>-12614.08</v>
      </c>
      <c r="D65" s="3" t="s">
        <v>81</v>
      </c>
    </row>
    <row r="66" spans="1:6" x14ac:dyDescent="0.25">
      <c r="B66" s="52" t="s">
        <v>84</v>
      </c>
      <c r="C66" s="54">
        <v>743.15</v>
      </c>
      <c r="D66" s="3" t="s">
        <v>13</v>
      </c>
    </row>
    <row r="67" spans="1:6" x14ac:dyDescent="0.25">
      <c r="B67" s="52" t="s">
        <v>85</v>
      </c>
      <c r="C67" s="54">
        <v>-15531.25</v>
      </c>
      <c r="D67" s="3" t="s">
        <v>10</v>
      </c>
    </row>
    <row r="68" spans="1:6" ht="30" x14ac:dyDescent="0.25">
      <c r="B68" s="50" t="s">
        <v>90</v>
      </c>
      <c r="C68" s="51">
        <f>SUM(C63:C67)</f>
        <v>557.35999999999694</v>
      </c>
      <c r="D68" s="3"/>
    </row>
    <row r="69" spans="1:6" ht="30" x14ac:dyDescent="0.25">
      <c r="A69" t="s">
        <v>157</v>
      </c>
      <c r="B69" s="52" t="s">
        <v>159</v>
      </c>
      <c r="C69" s="54">
        <v>-64704.91</v>
      </c>
      <c r="D69" s="3" t="s">
        <v>160</v>
      </c>
    </row>
    <row r="70" spans="1:6" x14ac:dyDescent="0.25">
      <c r="A70" t="s">
        <v>158</v>
      </c>
      <c r="B70" t="s">
        <v>87</v>
      </c>
      <c r="C70" s="54">
        <f>E70-F70</f>
        <v>31053.779999999912</v>
      </c>
      <c r="D70" s="3" t="s">
        <v>86</v>
      </c>
      <c r="E70" s="2">
        <v>1042282.95</v>
      </c>
      <c r="F70" s="2">
        <v>1011229.17</v>
      </c>
    </row>
    <row r="71" spans="1:6" x14ac:dyDescent="0.25">
      <c r="B71" t="s">
        <v>88</v>
      </c>
      <c r="C71" s="54">
        <f>E71-F71</f>
        <v>35708.119999999995</v>
      </c>
      <c r="D71" s="3" t="s">
        <v>34</v>
      </c>
      <c r="E71" s="2">
        <v>172029.55</v>
      </c>
      <c r="F71" s="2">
        <v>136321.43</v>
      </c>
    </row>
    <row r="72" spans="1:6" x14ac:dyDescent="0.25">
      <c r="B72" t="s">
        <v>63</v>
      </c>
      <c r="C72" s="54">
        <v>69632.800000000003</v>
      </c>
      <c r="D72" s="3" t="s">
        <v>64</v>
      </c>
    </row>
    <row r="73" spans="1:6" x14ac:dyDescent="0.25">
      <c r="B73" t="s">
        <v>82</v>
      </c>
      <c r="C73" s="54"/>
      <c r="D73" s="3"/>
    </row>
    <row r="74" spans="1:6" x14ac:dyDescent="0.25">
      <c r="B74" s="52" t="s">
        <v>89</v>
      </c>
      <c r="C74" s="46">
        <v>-80077.72</v>
      </c>
      <c r="D74" s="3" t="s">
        <v>75</v>
      </c>
    </row>
    <row r="75" spans="1:6" ht="30" x14ac:dyDescent="0.25">
      <c r="B75" s="50" t="s">
        <v>91</v>
      </c>
      <c r="C75" s="51">
        <f>SUM(C69:C74)</f>
        <v>-8387.9300000000949</v>
      </c>
      <c r="D75" s="55"/>
    </row>
    <row r="76" spans="1:6" x14ac:dyDescent="0.25">
      <c r="B76" s="56" t="s">
        <v>92</v>
      </c>
      <c r="C76" s="51">
        <f>C62+C68+C75</f>
        <v>191962.90999999992</v>
      </c>
    </row>
    <row r="78" spans="1:6" x14ac:dyDescent="0.25">
      <c r="B78" s="15" t="s">
        <v>22</v>
      </c>
      <c r="C78" s="15" t="s">
        <v>23</v>
      </c>
    </row>
    <row r="79" spans="1:6" x14ac:dyDescent="0.25">
      <c r="B79" t="s">
        <v>99</v>
      </c>
      <c r="C79" s="17">
        <f>C49</f>
        <v>404933.22000000009</v>
      </c>
    </row>
    <row r="80" spans="1:6" x14ac:dyDescent="0.25">
      <c r="B80" t="s">
        <v>100</v>
      </c>
      <c r="C80" s="17">
        <f>C76</f>
        <v>191962.90999999992</v>
      </c>
    </row>
    <row r="81" spans="2:6" x14ac:dyDescent="0.25">
      <c r="B81" s="15" t="s">
        <v>101</v>
      </c>
      <c r="C81" s="19">
        <f>C79-C80</f>
        <v>212970.31000000017</v>
      </c>
      <c r="D81">
        <v>2025</v>
      </c>
      <c r="E81">
        <v>2024</v>
      </c>
    </row>
    <row r="82" spans="2:6" x14ac:dyDescent="0.25">
      <c r="B82" t="s">
        <v>161</v>
      </c>
      <c r="C82" s="37">
        <f>D82-E82</f>
        <v>158069.96</v>
      </c>
      <c r="D82" s="2">
        <v>162734.99</v>
      </c>
      <c r="E82" s="2">
        <v>4665.03</v>
      </c>
    </row>
    <row r="83" spans="2:6" x14ac:dyDescent="0.25">
      <c r="B83" s="93" t="s">
        <v>116</v>
      </c>
      <c r="C83" s="94">
        <f>C81-C82</f>
        <v>54900.35000000018</v>
      </c>
      <c r="F83" s="17"/>
    </row>
    <row r="84" spans="2:6" x14ac:dyDescent="0.25">
      <c r="C84" s="17"/>
    </row>
    <row r="85" spans="2:6" x14ac:dyDescent="0.25">
      <c r="E85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541C-FBA0-458B-8FFD-8D15285C424D}">
  <dimension ref="A1:K84"/>
  <sheetViews>
    <sheetView topLeftCell="A13" zoomScale="142" zoomScaleNormal="142" workbookViewId="0">
      <selection activeCell="B49" sqref="B49:F73"/>
    </sheetView>
  </sheetViews>
  <sheetFormatPr defaultRowHeight="15" x14ac:dyDescent="0.25"/>
  <cols>
    <col min="2" max="2" width="47.5703125" customWidth="1"/>
    <col min="3" max="4" width="13.28515625" bestFit="1" customWidth="1"/>
    <col min="5" max="5" width="14" bestFit="1" customWidth="1"/>
    <col min="6" max="6" width="12.28515625" bestFit="1" customWidth="1"/>
    <col min="7" max="7" width="24.42578125" bestFit="1" customWidth="1"/>
    <col min="8" max="8" width="12.85546875" bestFit="1" customWidth="1"/>
    <col min="10" max="10" width="18.28515625" bestFit="1" customWidth="1"/>
    <col min="11" max="11" width="13.140625" bestFit="1" customWidth="1"/>
  </cols>
  <sheetData>
    <row r="1" spans="2:7" x14ac:dyDescent="0.25">
      <c r="B1" s="12" t="s">
        <v>21</v>
      </c>
      <c r="C1" s="5">
        <v>2025</v>
      </c>
      <c r="D1" s="5"/>
      <c r="E1" s="5" t="s">
        <v>0</v>
      </c>
    </row>
    <row r="2" spans="2:7" x14ac:dyDescent="0.25">
      <c r="B2" s="39" t="s">
        <v>3</v>
      </c>
      <c r="C2" s="63">
        <v>201022.54</v>
      </c>
      <c r="D2" s="9"/>
      <c r="E2" t="s">
        <v>73</v>
      </c>
    </row>
    <row r="3" spans="2:7" x14ac:dyDescent="0.25">
      <c r="B3" s="1" t="s">
        <v>1</v>
      </c>
      <c r="C3" s="9">
        <f>SUM(C4:C7)</f>
        <v>221886.72</v>
      </c>
      <c r="D3" s="9"/>
    </row>
    <row r="4" spans="2:7" x14ac:dyDescent="0.25">
      <c r="B4" s="41" t="s">
        <v>4</v>
      </c>
      <c r="C4" s="64">
        <v>152975.39000000001</v>
      </c>
      <c r="D4" s="10"/>
      <c r="E4" t="s">
        <v>2</v>
      </c>
    </row>
    <row r="5" spans="2:7" x14ac:dyDescent="0.25">
      <c r="B5" s="41" t="s">
        <v>6</v>
      </c>
      <c r="C5" s="64">
        <v>40766</v>
      </c>
      <c r="D5" s="10"/>
      <c r="E5" t="s">
        <v>5</v>
      </c>
      <c r="G5" t="s">
        <v>78</v>
      </c>
    </row>
    <row r="6" spans="2:7" x14ac:dyDescent="0.25">
      <c r="B6" s="41" t="s">
        <v>8</v>
      </c>
      <c r="C6" s="64">
        <v>12614.08</v>
      </c>
      <c r="D6" s="10"/>
      <c r="E6" t="s">
        <v>7</v>
      </c>
    </row>
    <row r="7" spans="2:7" x14ac:dyDescent="0.25">
      <c r="B7" s="41" t="s">
        <v>11</v>
      </c>
      <c r="C7" s="64">
        <v>15531.25</v>
      </c>
      <c r="D7" s="10"/>
      <c r="E7" t="s">
        <v>10</v>
      </c>
      <c r="G7" s="2">
        <v>201022.54</v>
      </c>
    </row>
    <row r="8" spans="2:7" x14ac:dyDescent="0.25">
      <c r="B8" s="1" t="s">
        <v>12</v>
      </c>
      <c r="C8" s="9">
        <f>C9</f>
        <v>-743.15</v>
      </c>
      <c r="D8" s="10"/>
      <c r="G8" s="2">
        <v>69442.880000000005</v>
      </c>
    </row>
    <row r="9" spans="2:7" x14ac:dyDescent="0.25">
      <c r="B9" s="41" t="s">
        <v>14</v>
      </c>
      <c r="C9" s="64">
        <f>-743.15</f>
        <v>-743.15</v>
      </c>
      <c r="D9" s="10"/>
      <c r="E9" t="s">
        <v>13</v>
      </c>
      <c r="G9" s="2">
        <v>15531.25</v>
      </c>
    </row>
    <row r="10" spans="2:7" x14ac:dyDescent="0.25">
      <c r="B10" s="49" t="s">
        <v>56</v>
      </c>
      <c r="C10" s="9">
        <f>C2+C3+C8</f>
        <v>422166.11</v>
      </c>
      <c r="D10" s="9"/>
      <c r="G10" s="2">
        <f>SUM(G7:G9)</f>
        <v>285996.67000000004</v>
      </c>
    </row>
    <row r="11" spans="2:7" x14ac:dyDescent="0.25">
      <c r="B11" s="39" t="s">
        <v>57</v>
      </c>
      <c r="C11" s="64">
        <v>64704.91</v>
      </c>
      <c r="D11" s="10"/>
      <c r="E11" t="s">
        <v>58</v>
      </c>
      <c r="G11" s="2">
        <v>-69442.880000000005</v>
      </c>
    </row>
    <row r="12" spans="2:7" x14ac:dyDescent="0.25">
      <c r="B12" s="49" t="s">
        <v>18</v>
      </c>
      <c r="C12" s="10">
        <f>C10+C11</f>
        <v>486871.02</v>
      </c>
      <c r="D12" s="10"/>
      <c r="G12" s="2">
        <v>-15531.25</v>
      </c>
    </row>
    <row r="13" spans="2:7" x14ac:dyDescent="0.25">
      <c r="B13" s="41" t="s">
        <v>20</v>
      </c>
      <c r="C13" s="64">
        <v>69442.880000000005</v>
      </c>
      <c r="D13" s="10"/>
      <c r="G13">
        <v>743.15</v>
      </c>
    </row>
    <row r="14" spans="2:7" x14ac:dyDescent="0.25">
      <c r="B14" s="1" t="s">
        <v>19</v>
      </c>
      <c r="C14" s="9">
        <f>C12-C13</f>
        <v>417428.14</v>
      </c>
      <c r="D14" s="9"/>
      <c r="G14" s="2">
        <f>SUM(G10:G13)</f>
        <v>201765.69000000003</v>
      </c>
    </row>
    <row r="15" spans="2:7" x14ac:dyDescent="0.25">
      <c r="G15" s="10"/>
    </row>
    <row r="17" spans="2:8" x14ac:dyDescent="0.25">
      <c r="B17" s="69" t="s">
        <v>19</v>
      </c>
      <c r="C17" s="70">
        <f>C14</f>
        <v>417428.14</v>
      </c>
    </row>
    <row r="18" spans="2:8" ht="30" x14ac:dyDescent="0.25">
      <c r="B18" s="34" t="s">
        <v>154</v>
      </c>
      <c r="C18" s="86">
        <f>C19+C20+C21</f>
        <v>-33188.21</v>
      </c>
      <c r="D18" s="24"/>
      <c r="E18" s="24"/>
      <c r="F18" s="25">
        <v>2025</v>
      </c>
      <c r="G18" s="25">
        <v>2024</v>
      </c>
    </row>
    <row r="19" spans="2:8" x14ac:dyDescent="0.25">
      <c r="B19" s="6" t="s">
        <v>137</v>
      </c>
      <c r="C19" s="31">
        <f>-(F19-G19)</f>
        <v>10904.419999999998</v>
      </c>
      <c r="D19" s="32" t="s">
        <v>29</v>
      </c>
      <c r="E19" s="29" t="s">
        <v>30</v>
      </c>
      <c r="F19" s="28">
        <v>36661.58</v>
      </c>
      <c r="G19" s="28">
        <v>47566</v>
      </c>
    </row>
    <row r="20" spans="2:8" x14ac:dyDescent="0.25">
      <c r="B20" s="6" t="s">
        <v>138</v>
      </c>
      <c r="C20" s="31">
        <f>-(F20-G20)</f>
        <v>-37523.25</v>
      </c>
      <c r="D20" s="32" t="s">
        <v>31</v>
      </c>
      <c r="E20" s="29" t="s">
        <v>30</v>
      </c>
      <c r="F20" s="28">
        <f>407047.76+131.61</f>
        <v>407179.37</v>
      </c>
      <c r="G20" s="28">
        <v>369656.12</v>
      </c>
    </row>
    <row r="21" spans="2:8" x14ac:dyDescent="0.25">
      <c r="B21" s="6" t="s">
        <v>139</v>
      </c>
      <c r="C21" s="31">
        <f>-(F21-G21)</f>
        <v>-6569.38</v>
      </c>
      <c r="D21" s="32" t="s">
        <v>32</v>
      </c>
      <c r="E21" s="29" t="s">
        <v>30</v>
      </c>
      <c r="F21" s="28">
        <v>6569.38</v>
      </c>
      <c r="G21" s="28">
        <v>0</v>
      </c>
    </row>
    <row r="22" spans="2:8" x14ac:dyDescent="0.25">
      <c r="B22" s="34" t="s">
        <v>140</v>
      </c>
      <c r="C22" s="86">
        <f>C23+C24+C25+C26+C27+C28</f>
        <v>174641.02</v>
      </c>
      <c r="F22" s="17"/>
      <c r="G22" s="17"/>
    </row>
    <row r="23" spans="2:8" x14ac:dyDescent="0.25">
      <c r="B23" s="32" t="s">
        <v>141</v>
      </c>
      <c r="C23" s="31">
        <f t="shared" ref="C23:C28" si="0">F23-G23</f>
        <v>-4182.1500000000233</v>
      </c>
      <c r="D23" s="32" t="s">
        <v>35</v>
      </c>
      <c r="E23" s="29" t="s">
        <v>30</v>
      </c>
      <c r="F23" s="28">
        <v>144903.82999999999</v>
      </c>
      <c r="G23" s="28">
        <v>149085.98000000001</v>
      </c>
    </row>
    <row r="24" spans="2:8" x14ac:dyDescent="0.25">
      <c r="B24" s="32" t="s">
        <v>143</v>
      </c>
      <c r="C24" s="31">
        <f t="shared" si="0"/>
        <v>8700</v>
      </c>
      <c r="D24" s="32" t="s">
        <v>142</v>
      </c>
      <c r="E24" s="29" t="s">
        <v>30</v>
      </c>
      <c r="F24" s="28">
        <v>13524.62</v>
      </c>
      <c r="G24" s="28">
        <v>4824.62</v>
      </c>
    </row>
    <row r="25" spans="2:8" x14ac:dyDescent="0.25">
      <c r="B25" s="32" t="s">
        <v>107</v>
      </c>
      <c r="C25" s="31">
        <f t="shared" si="0"/>
        <v>97249.21</v>
      </c>
      <c r="D25" s="32" t="s">
        <v>113</v>
      </c>
      <c r="E25" s="29" t="s">
        <v>30</v>
      </c>
      <c r="F25" s="28">
        <v>131834.63</v>
      </c>
      <c r="G25" s="28">
        <v>34585.42</v>
      </c>
    </row>
    <row r="26" spans="2:8" x14ac:dyDescent="0.25">
      <c r="B26" s="32" t="s">
        <v>146</v>
      </c>
      <c r="C26" s="31">
        <f t="shared" si="0"/>
        <v>1000</v>
      </c>
      <c r="D26" s="32" t="s">
        <v>36</v>
      </c>
      <c r="E26" s="29" t="s">
        <v>30</v>
      </c>
      <c r="F26" s="28">
        <v>1000</v>
      </c>
      <c r="G26" s="28">
        <v>0</v>
      </c>
    </row>
    <row r="27" spans="2:8" x14ac:dyDescent="0.25">
      <c r="B27" s="95" t="s">
        <v>144</v>
      </c>
      <c r="C27" s="20">
        <f t="shared" si="0"/>
        <v>69632.800000000003</v>
      </c>
      <c r="D27" s="32" t="s">
        <v>145</v>
      </c>
      <c r="F27" s="92">
        <v>69632.800000000003</v>
      </c>
      <c r="G27" s="92">
        <v>0</v>
      </c>
    </row>
    <row r="28" spans="2:8" x14ac:dyDescent="0.25">
      <c r="B28" s="95" t="s">
        <v>139</v>
      </c>
      <c r="C28" s="31">
        <f t="shared" si="0"/>
        <v>2241.16</v>
      </c>
      <c r="D28" s="32" t="s">
        <v>38</v>
      </c>
      <c r="E28" s="29" t="s">
        <v>30</v>
      </c>
      <c r="F28" s="28">
        <v>4490.54</v>
      </c>
      <c r="G28" s="28">
        <v>2249.38</v>
      </c>
    </row>
    <row r="29" spans="2:8" x14ac:dyDescent="0.25">
      <c r="B29" s="90" t="s">
        <v>82</v>
      </c>
      <c r="C29">
        <v>0</v>
      </c>
      <c r="D29" s="24"/>
      <c r="E29" s="24"/>
      <c r="F29" s="25"/>
      <c r="G29" s="25"/>
      <c r="H29" s="9"/>
    </row>
    <row r="30" spans="2:8" ht="30" x14ac:dyDescent="0.25">
      <c r="B30" s="4" t="s">
        <v>6</v>
      </c>
      <c r="C30">
        <v>0</v>
      </c>
      <c r="F30" s="10"/>
      <c r="H30" s="10"/>
    </row>
    <row r="31" spans="2:8" x14ac:dyDescent="0.25">
      <c r="B31" s="81" t="s">
        <v>39</v>
      </c>
      <c r="C31" s="83">
        <f>C17+C18+C22</f>
        <v>558880.94999999995</v>
      </c>
      <c r="D31" s="82"/>
      <c r="E31" s="82"/>
      <c r="F31" s="82"/>
    </row>
    <row r="33" spans="2:11" x14ac:dyDescent="0.25">
      <c r="B33" s="15" t="s">
        <v>55</v>
      </c>
    </row>
    <row r="34" spans="2:11" x14ac:dyDescent="0.25">
      <c r="B34" s="13" t="s">
        <v>49</v>
      </c>
      <c r="C34" s="13" t="s">
        <v>23</v>
      </c>
      <c r="D34" s="13" t="s">
        <v>24</v>
      </c>
      <c r="E34" s="13" t="s">
        <v>48</v>
      </c>
      <c r="F34">
        <v>2025</v>
      </c>
      <c r="G34">
        <v>2024</v>
      </c>
    </row>
    <row r="35" spans="2:11" x14ac:dyDescent="0.25">
      <c r="B35" s="15" t="s">
        <v>123</v>
      </c>
      <c r="C35" s="16">
        <f>C36+C37</f>
        <v>400737.58999999985</v>
      </c>
      <c r="D35" s="13"/>
      <c r="E35" s="13"/>
    </row>
    <row r="36" spans="2:11" x14ac:dyDescent="0.25">
      <c r="B36" s="3" t="s">
        <v>170</v>
      </c>
      <c r="C36" s="17">
        <v>49798</v>
      </c>
      <c r="D36" t="s">
        <v>51</v>
      </c>
      <c r="E36" t="s">
        <v>45</v>
      </c>
      <c r="F36" s="2">
        <v>48133.52</v>
      </c>
      <c r="G36">
        <v>0</v>
      </c>
    </row>
    <row r="37" spans="2:11" x14ac:dyDescent="0.25">
      <c r="B37" s="3" t="s">
        <v>148</v>
      </c>
      <c r="C37" s="17">
        <f>F37-G37</f>
        <v>350939.58999999985</v>
      </c>
      <c r="D37" t="s">
        <v>46</v>
      </c>
      <c r="E37" t="s">
        <v>45</v>
      </c>
      <c r="F37" s="2">
        <v>1600763.4</v>
      </c>
      <c r="G37" s="2">
        <v>1249823.81</v>
      </c>
    </row>
    <row r="38" spans="2:11" x14ac:dyDescent="0.25">
      <c r="B38" s="1" t="s">
        <v>82</v>
      </c>
      <c r="C38" s="19">
        <f>C39+C40+C41+C42</f>
        <v>-338295.32999999996</v>
      </c>
    </row>
    <row r="39" spans="2:11" x14ac:dyDescent="0.25">
      <c r="B39" t="s">
        <v>149</v>
      </c>
      <c r="C39" s="26">
        <v>-151310.91</v>
      </c>
      <c r="D39" t="s">
        <v>152</v>
      </c>
      <c r="E39" t="s">
        <v>52</v>
      </c>
    </row>
    <row r="40" spans="2:11" x14ac:dyDescent="0.25">
      <c r="B40" t="s">
        <v>150</v>
      </c>
      <c r="C40" s="26">
        <v>-1664.48</v>
      </c>
      <c r="D40" t="s">
        <v>43</v>
      </c>
    </row>
    <row r="41" spans="2:11" x14ac:dyDescent="0.25">
      <c r="B41" t="s">
        <v>61</v>
      </c>
      <c r="C41" s="2">
        <v>-180673.33</v>
      </c>
      <c r="D41" t="s">
        <v>65</v>
      </c>
    </row>
    <row r="42" spans="2:11" x14ac:dyDescent="0.25">
      <c r="B42" s="6" t="s">
        <v>164</v>
      </c>
      <c r="C42" s="40">
        <v>-4646.6099999999997</v>
      </c>
      <c r="J42" t="s">
        <v>171</v>
      </c>
    </row>
    <row r="43" spans="2:11" x14ac:dyDescent="0.25">
      <c r="B43" s="84" t="s">
        <v>151</v>
      </c>
      <c r="C43" s="85">
        <f>C35+C38</f>
        <v>62442.259999999893</v>
      </c>
      <c r="D43" s="82"/>
      <c r="E43" s="82"/>
      <c r="F43" s="82"/>
      <c r="J43" t="s">
        <v>172</v>
      </c>
    </row>
    <row r="44" spans="2:11" x14ac:dyDescent="0.25">
      <c r="B44" s="14" t="s">
        <v>39</v>
      </c>
      <c r="C44" s="86">
        <f>C31</f>
        <v>558880.94999999995</v>
      </c>
      <c r="J44" t="s">
        <v>173</v>
      </c>
      <c r="K44">
        <v>49798</v>
      </c>
    </row>
    <row r="45" spans="2:11" x14ac:dyDescent="0.25">
      <c r="B45" s="1" t="s">
        <v>151</v>
      </c>
      <c r="C45" s="19">
        <f>C43</f>
        <v>62442.259999999893</v>
      </c>
      <c r="J45" t="s">
        <v>174</v>
      </c>
      <c r="K45">
        <v>-1664.48</v>
      </c>
    </row>
    <row r="46" spans="2:11" x14ac:dyDescent="0.25">
      <c r="B46" s="84" t="s">
        <v>59</v>
      </c>
      <c r="C46" s="85">
        <f>C44-C45</f>
        <v>496438.69000000006</v>
      </c>
      <c r="D46" s="82"/>
      <c r="E46" s="82"/>
      <c r="F46" s="82"/>
      <c r="J46" t="s">
        <v>177</v>
      </c>
      <c r="K46">
        <v>150000</v>
      </c>
    </row>
    <row r="47" spans="2:11" x14ac:dyDescent="0.25">
      <c r="J47" t="s">
        <v>174</v>
      </c>
      <c r="K47">
        <v>-10027.4</v>
      </c>
    </row>
    <row r="48" spans="2:11" x14ac:dyDescent="0.25">
      <c r="J48" t="s">
        <v>178</v>
      </c>
      <c r="K48">
        <v>2800</v>
      </c>
    </row>
    <row r="49" spans="2:11" x14ac:dyDescent="0.25">
      <c r="B49" s="49" t="s">
        <v>49</v>
      </c>
      <c r="C49" s="49" t="s">
        <v>97</v>
      </c>
      <c r="D49" t="s">
        <v>98</v>
      </c>
      <c r="E49">
        <v>2025</v>
      </c>
      <c r="F49">
        <v>2024</v>
      </c>
      <c r="J49" t="s">
        <v>174</v>
      </c>
      <c r="K49">
        <v>-47.56</v>
      </c>
    </row>
    <row r="50" spans="2:11" x14ac:dyDescent="0.25">
      <c r="B50" s="1" t="s">
        <v>93</v>
      </c>
      <c r="C50" s="19">
        <f>E50-F50</f>
        <v>320968.82000000007</v>
      </c>
      <c r="E50" s="2">
        <v>645456.80000000005</v>
      </c>
      <c r="F50" s="2">
        <v>324487.98</v>
      </c>
      <c r="G50" s="17"/>
      <c r="J50" t="s">
        <v>179</v>
      </c>
      <c r="K50">
        <f>165000+1750+100</f>
        <v>166850</v>
      </c>
    </row>
    <row r="51" spans="2:11" x14ac:dyDescent="0.25">
      <c r="B51" s="3" t="s">
        <v>61</v>
      </c>
      <c r="C51" s="17">
        <f t="shared" ref="C51" si="1">E51-F51</f>
        <v>180673.33</v>
      </c>
      <c r="D51" s="3" t="s">
        <v>65</v>
      </c>
      <c r="E51">
        <v>180673.33</v>
      </c>
      <c r="F51">
        <v>0</v>
      </c>
      <c r="G51" s="17"/>
      <c r="J51" t="s">
        <v>180</v>
      </c>
      <c r="K51">
        <f>-2001.96-21.23-1.21</f>
        <v>-2024.4</v>
      </c>
    </row>
    <row r="52" spans="2:11" x14ac:dyDescent="0.25">
      <c r="B52" s="3" t="s">
        <v>66</v>
      </c>
      <c r="C52" s="17">
        <v>201603.73</v>
      </c>
      <c r="D52" s="3" t="s">
        <v>67</v>
      </c>
      <c r="E52">
        <v>201603.73</v>
      </c>
      <c r="G52" s="17"/>
      <c r="J52" t="s">
        <v>185</v>
      </c>
      <c r="K52">
        <v>68035.12</v>
      </c>
    </row>
    <row r="53" spans="2:11" x14ac:dyDescent="0.25">
      <c r="B53" s="3" t="s">
        <v>68</v>
      </c>
      <c r="C53" s="17">
        <f>E53-F53</f>
        <v>-80077.719999999972</v>
      </c>
      <c r="D53" s="3" t="s">
        <v>69</v>
      </c>
      <c r="E53" s="2">
        <v>194410.26</v>
      </c>
      <c r="F53" s="2">
        <v>274487.98</v>
      </c>
      <c r="J53" t="s">
        <v>174</v>
      </c>
      <c r="K53">
        <v>-6000</v>
      </c>
    </row>
    <row r="54" spans="2:11" x14ac:dyDescent="0.25">
      <c r="B54" s="3" t="s">
        <v>71</v>
      </c>
      <c r="C54" s="17">
        <f>E54-F54</f>
        <v>18769.48</v>
      </c>
      <c r="D54" s="3" t="s">
        <v>70</v>
      </c>
      <c r="E54" s="2">
        <v>18769.48</v>
      </c>
      <c r="G54" s="17"/>
      <c r="J54" t="s">
        <v>186</v>
      </c>
      <c r="K54">
        <v>20628.5</v>
      </c>
    </row>
    <row r="55" spans="2:11" x14ac:dyDescent="0.25">
      <c r="B55" s="50" t="s">
        <v>94</v>
      </c>
      <c r="C55" s="51">
        <f>C56+C57+C58</f>
        <v>-120714.3</v>
      </c>
      <c r="D55" s="3"/>
      <c r="J55" t="s">
        <v>174</v>
      </c>
      <c r="K55">
        <v>-51.78</v>
      </c>
    </row>
    <row r="56" spans="2:11" x14ac:dyDescent="0.25">
      <c r="B56" s="52" t="s">
        <v>72</v>
      </c>
      <c r="C56" s="53">
        <v>-201022.54</v>
      </c>
      <c r="D56" s="3" t="s">
        <v>73</v>
      </c>
      <c r="J56" s="1" t="s">
        <v>181</v>
      </c>
      <c r="K56" s="1">
        <f>SUM(K44:K55)</f>
        <v>438295.99999999994</v>
      </c>
    </row>
    <row r="57" spans="2:11" x14ac:dyDescent="0.25">
      <c r="B57" t="s">
        <v>74</v>
      </c>
      <c r="C57" s="54">
        <v>80077.72</v>
      </c>
      <c r="D57" s="3" t="s">
        <v>75</v>
      </c>
      <c r="J57" t="s">
        <v>175</v>
      </c>
    </row>
    <row r="58" spans="2:11" x14ac:dyDescent="0.25">
      <c r="B58" s="52" t="s">
        <v>76</v>
      </c>
      <c r="C58" s="54">
        <f>230.52</f>
        <v>230.52</v>
      </c>
      <c r="D58" s="3" t="s">
        <v>77</v>
      </c>
      <c r="J58" t="s">
        <v>176</v>
      </c>
      <c r="K58">
        <v>-185000</v>
      </c>
    </row>
    <row r="59" spans="2:11" ht="30" x14ac:dyDescent="0.25">
      <c r="B59" s="50" t="s">
        <v>95</v>
      </c>
      <c r="C59" s="51">
        <f>C50+C55</f>
        <v>200254.52000000008</v>
      </c>
      <c r="D59" s="3"/>
      <c r="J59" t="s">
        <v>174</v>
      </c>
      <c r="K59">
        <v>87875</v>
      </c>
    </row>
    <row r="60" spans="2:11" x14ac:dyDescent="0.25">
      <c r="B60" s="50" t="s">
        <v>156</v>
      </c>
      <c r="C60" s="54">
        <f>E60-F60</f>
        <v>27959.539999999997</v>
      </c>
      <c r="D60" s="3" t="s">
        <v>79</v>
      </c>
      <c r="E60" s="2">
        <v>36886.519999999997</v>
      </c>
      <c r="F60" s="2">
        <v>8926.98</v>
      </c>
      <c r="J60" s="1" t="s">
        <v>187</v>
      </c>
      <c r="K60" s="1">
        <f>SUM(K58:K59)</f>
        <v>-97125</v>
      </c>
    </row>
    <row r="61" spans="2:11" x14ac:dyDescent="0.25">
      <c r="B61" t="s">
        <v>82</v>
      </c>
      <c r="C61" s="54"/>
      <c r="D61" s="3"/>
      <c r="J61" t="s">
        <v>188</v>
      </c>
      <c r="K61" s="1">
        <f>K56+K60</f>
        <v>341170.99999999994</v>
      </c>
    </row>
    <row r="62" spans="2:11" x14ac:dyDescent="0.25">
      <c r="B62" s="52" t="s">
        <v>83</v>
      </c>
      <c r="C62" s="54">
        <v>-12614.08</v>
      </c>
      <c r="D62" s="3" t="s">
        <v>81</v>
      </c>
    </row>
    <row r="63" spans="2:11" x14ac:dyDescent="0.25">
      <c r="B63" s="52" t="s">
        <v>84</v>
      </c>
      <c r="C63" s="54">
        <v>743.15</v>
      </c>
      <c r="D63" s="3" t="s">
        <v>13</v>
      </c>
      <c r="J63" s="96" t="s">
        <v>182</v>
      </c>
      <c r="K63" s="37">
        <f>C44-K61</f>
        <v>217709.95</v>
      </c>
    </row>
    <row r="64" spans="2:11" x14ac:dyDescent="0.25">
      <c r="B64" s="52" t="s">
        <v>85</v>
      </c>
      <c r="C64" s="54">
        <v>-15531.25</v>
      </c>
      <c r="D64" s="3" t="s">
        <v>10</v>
      </c>
      <c r="J64" t="s">
        <v>183</v>
      </c>
      <c r="K64" s="17">
        <f>C73</f>
        <v>192423.94999999995</v>
      </c>
    </row>
    <row r="65" spans="1:11" ht="30" x14ac:dyDescent="0.25">
      <c r="B65" s="50" t="s">
        <v>90</v>
      </c>
      <c r="C65" s="51">
        <f>SUM(C60:C64)</f>
        <v>557.35999999999694</v>
      </c>
      <c r="D65" s="3"/>
      <c r="K65" s="17">
        <f>K63-K64</f>
        <v>25286.000000000058</v>
      </c>
    </row>
    <row r="66" spans="1:11" ht="30" x14ac:dyDescent="0.25">
      <c r="A66" t="s">
        <v>157</v>
      </c>
      <c r="B66" s="52" t="s">
        <v>159</v>
      </c>
      <c r="C66" s="54">
        <v>-64704.91</v>
      </c>
      <c r="D66" s="3" t="s">
        <v>160</v>
      </c>
      <c r="J66" s="1" t="s">
        <v>184</v>
      </c>
      <c r="K66" s="19">
        <f>K65-C79</f>
        <v>-132783.95999999993</v>
      </c>
    </row>
    <row r="67" spans="1:11" x14ac:dyDescent="0.25">
      <c r="A67" t="s">
        <v>158</v>
      </c>
      <c r="B67" t="s">
        <v>87</v>
      </c>
      <c r="C67" s="54">
        <f>E67-F67</f>
        <v>31053.779999999912</v>
      </c>
      <c r="D67" s="3" t="s">
        <v>86</v>
      </c>
      <c r="E67" s="2">
        <v>1042282.95</v>
      </c>
      <c r="F67" s="2">
        <v>1011229.17</v>
      </c>
    </row>
    <row r="68" spans="1:11" x14ac:dyDescent="0.25">
      <c r="B68" t="s">
        <v>88</v>
      </c>
      <c r="C68" s="54">
        <f>E68-F68</f>
        <v>35708.119999999995</v>
      </c>
      <c r="D68" s="3" t="s">
        <v>34</v>
      </c>
      <c r="E68" s="2">
        <v>172029.55</v>
      </c>
      <c r="F68" s="2">
        <v>136321.43</v>
      </c>
    </row>
    <row r="69" spans="1:11" x14ac:dyDescent="0.25">
      <c r="B69" t="s">
        <v>63</v>
      </c>
      <c r="C69" s="54">
        <v>69632.800000000003</v>
      </c>
      <c r="D69" s="3" t="s">
        <v>64</v>
      </c>
      <c r="K69" s="17">
        <f>K63-C79</f>
        <v>59639.99000000002</v>
      </c>
    </row>
    <row r="70" spans="1:11" x14ac:dyDescent="0.25">
      <c r="B70" t="s">
        <v>82</v>
      </c>
      <c r="C70" s="54"/>
      <c r="D70" s="3"/>
      <c r="K70">
        <v>59896.14</v>
      </c>
    </row>
    <row r="71" spans="1:11" x14ac:dyDescent="0.25">
      <c r="B71" s="52" t="s">
        <v>89</v>
      </c>
      <c r="C71" s="46">
        <v>-80077.72</v>
      </c>
      <c r="D71" s="3" t="s">
        <v>75</v>
      </c>
      <c r="K71" s="17">
        <f>K70-K69</f>
        <v>256.14999999997963</v>
      </c>
    </row>
    <row r="72" spans="1:11" ht="30" x14ac:dyDescent="0.25">
      <c r="B72" s="50" t="s">
        <v>91</v>
      </c>
      <c r="C72" s="51">
        <f>SUM(C66:C71)</f>
        <v>-8387.9300000000949</v>
      </c>
      <c r="D72" s="55"/>
    </row>
    <row r="73" spans="1:11" x14ac:dyDescent="0.25">
      <c r="B73" s="56" t="s">
        <v>92</v>
      </c>
      <c r="C73" s="51">
        <f>C59+C65+C72</f>
        <v>192423.94999999995</v>
      </c>
    </row>
    <row r="75" spans="1:11" x14ac:dyDescent="0.25">
      <c r="B75" s="15" t="s">
        <v>22</v>
      </c>
      <c r="C75" s="15" t="s">
        <v>23</v>
      </c>
    </row>
    <row r="76" spans="1:11" x14ac:dyDescent="0.25">
      <c r="B76" t="s">
        <v>99</v>
      </c>
      <c r="C76" s="17">
        <f>C46</f>
        <v>496438.69000000006</v>
      </c>
    </row>
    <row r="77" spans="1:11" x14ac:dyDescent="0.25">
      <c r="B77" t="s">
        <v>100</v>
      </c>
      <c r="C77" s="17">
        <f>C73</f>
        <v>192423.94999999995</v>
      </c>
    </row>
    <row r="78" spans="1:11" x14ac:dyDescent="0.25">
      <c r="B78" s="15" t="s">
        <v>101</v>
      </c>
      <c r="C78" s="19">
        <f>C76-C77</f>
        <v>304014.74000000011</v>
      </c>
      <c r="D78">
        <v>2025</v>
      </c>
      <c r="E78">
        <v>2024</v>
      </c>
    </row>
    <row r="79" spans="1:11" x14ac:dyDescent="0.25">
      <c r="B79" t="s">
        <v>161</v>
      </c>
      <c r="C79" s="37">
        <f>D79-E79</f>
        <v>158069.96</v>
      </c>
      <c r="D79" s="2">
        <v>162734.99</v>
      </c>
      <c r="E79" s="2">
        <v>4665.03</v>
      </c>
      <c r="K79" s="17">
        <f>K63-C79</f>
        <v>59639.99000000002</v>
      </c>
    </row>
    <row r="80" spans="1:11" x14ac:dyDescent="0.25">
      <c r="B80" s="93" t="s">
        <v>116</v>
      </c>
      <c r="C80" s="94">
        <f>C78-C79</f>
        <v>145944.78000000012</v>
      </c>
      <c r="F80" s="17"/>
    </row>
    <row r="81" spans="3:5" x14ac:dyDescent="0.25">
      <c r="C81" s="17"/>
    </row>
    <row r="82" spans="3:5" x14ac:dyDescent="0.25">
      <c r="C82" s="17"/>
      <c r="E82" s="17"/>
    </row>
    <row r="83" spans="3:5" x14ac:dyDescent="0.25">
      <c r="C83" s="17"/>
      <c r="E83" s="17"/>
    </row>
    <row r="84" spans="3:5" x14ac:dyDescent="0.25">
      <c r="C8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99DB-583B-4120-8A96-B36264596C54}">
  <dimension ref="A1:N77"/>
  <sheetViews>
    <sheetView zoomScale="130" zoomScaleNormal="130" workbookViewId="0">
      <selection activeCell="B72" sqref="B72"/>
    </sheetView>
  </sheetViews>
  <sheetFormatPr defaultRowHeight="15" x14ac:dyDescent="0.25"/>
  <cols>
    <col min="1" max="1" width="37.7109375" bestFit="1" customWidth="1"/>
    <col min="2" max="2" width="13.28515625" bestFit="1" customWidth="1"/>
    <col min="3" max="3" width="12.42578125" bestFit="1" customWidth="1"/>
    <col min="4" max="4" width="14" bestFit="1" customWidth="1"/>
    <col min="5" max="6" width="11.5703125" bestFit="1" customWidth="1"/>
    <col min="9" max="9" width="20.140625" bestFit="1" customWidth="1"/>
    <col min="10" max="10" width="14" bestFit="1" customWidth="1"/>
    <col min="13" max="13" width="13.140625" bestFit="1" customWidth="1"/>
  </cols>
  <sheetData>
    <row r="1" spans="1:14" x14ac:dyDescent="0.25">
      <c r="A1" s="67" t="s">
        <v>21</v>
      </c>
      <c r="B1" s="68">
        <v>2025</v>
      </c>
      <c r="C1" s="68">
        <v>2024</v>
      </c>
      <c r="D1" s="68" t="s">
        <v>0</v>
      </c>
      <c r="E1" s="68">
        <v>2025</v>
      </c>
      <c r="F1" s="68">
        <v>2024</v>
      </c>
    </row>
    <row r="2" spans="1:14" x14ac:dyDescent="0.25">
      <c r="A2" s="69" t="s">
        <v>3</v>
      </c>
      <c r="B2" s="70">
        <v>285000</v>
      </c>
      <c r="C2" s="70">
        <v>56127.31</v>
      </c>
      <c r="D2" s="71" t="s">
        <v>110</v>
      </c>
    </row>
    <row r="3" spans="1:14" x14ac:dyDescent="0.25">
      <c r="A3" s="69" t="s">
        <v>1</v>
      </c>
      <c r="B3" s="70">
        <f>B4+B5+B6+B7</f>
        <v>221886.72</v>
      </c>
      <c r="C3" s="70">
        <f>C4+C5+C6+C7</f>
        <v>172158.41</v>
      </c>
      <c r="D3" s="71"/>
    </row>
    <row r="4" spans="1:14" x14ac:dyDescent="0.25">
      <c r="A4" s="4" t="s">
        <v>4</v>
      </c>
      <c r="B4" s="88">
        <v>152975.39000000001</v>
      </c>
      <c r="C4" s="73">
        <v>155871.43</v>
      </c>
      <c r="D4" s="71" t="s">
        <v>2</v>
      </c>
    </row>
    <row r="5" spans="1:14" ht="31.5" customHeight="1" x14ac:dyDescent="0.25">
      <c r="A5" s="4" t="s">
        <v>6</v>
      </c>
      <c r="B5" s="88">
        <v>40766</v>
      </c>
      <c r="C5" s="73">
        <v>7360</v>
      </c>
      <c r="D5" s="71" t="s">
        <v>5</v>
      </c>
    </row>
    <row r="6" spans="1:14" x14ac:dyDescent="0.25">
      <c r="A6" s="4" t="s">
        <v>8</v>
      </c>
      <c r="B6" s="73">
        <v>12614.08</v>
      </c>
      <c r="C6" s="73">
        <v>8926.98</v>
      </c>
      <c r="D6" s="71" t="s">
        <v>7</v>
      </c>
    </row>
    <row r="7" spans="1:14" ht="18.75" customHeight="1" x14ac:dyDescent="0.25">
      <c r="A7" s="21" t="s">
        <v>11</v>
      </c>
      <c r="B7" s="72">
        <v>15531.25</v>
      </c>
      <c r="C7" s="72"/>
      <c r="D7" s="74" t="s">
        <v>10</v>
      </c>
    </row>
    <row r="8" spans="1:14" x14ac:dyDescent="0.25">
      <c r="A8" s="69" t="s">
        <v>12</v>
      </c>
      <c r="B8" s="70">
        <v>0</v>
      </c>
      <c r="C8" s="70">
        <v>0</v>
      </c>
      <c r="D8" s="71"/>
    </row>
    <row r="9" spans="1:14" ht="30" x14ac:dyDescent="0.25">
      <c r="A9" s="87" t="s">
        <v>108</v>
      </c>
      <c r="B9" s="78">
        <f>B2+B3</f>
        <v>506886.72</v>
      </c>
      <c r="C9" s="78">
        <f>C2+C3+C8</f>
        <v>228285.72</v>
      </c>
      <c r="D9" s="79"/>
      <c r="I9" t="s">
        <v>171</v>
      </c>
    </row>
    <row r="10" spans="1:14" x14ac:dyDescent="0.25">
      <c r="A10" s="69" t="s">
        <v>107</v>
      </c>
      <c r="B10" s="71"/>
      <c r="C10" s="71"/>
      <c r="D10" s="71" t="s">
        <v>109</v>
      </c>
      <c r="I10" t="s">
        <v>172</v>
      </c>
    </row>
    <row r="11" spans="1:14" x14ac:dyDescent="0.25">
      <c r="A11" s="4" t="s">
        <v>20</v>
      </c>
      <c r="B11" s="73">
        <v>69442.880000000005</v>
      </c>
      <c r="C11" s="73">
        <v>17837.650000000001</v>
      </c>
      <c r="D11" s="71"/>
      <c r="I11" t="s">
        <v>173</v>
      </c>
      <c r="J11">
        <v>49798</v>
      </c>
      <c r="N11">
        <f>J11+J13+J15+J17+J19+J21</f>
        <v>458111.62</v>
      </c>
    </row>
    <row r="12" spans="1:14" x14ac:dyDescent="0.25">
      <c r="A12" s="87" t="s">
        <v>56</v>
      </c>
      <c r="B12" s="78">
        <f>B9-B11</f>
        <v>437443.83999999997</v>
      </c>
      <c r="C12" s="78">
        <f>C9-C11</f>
        <v>210448.07</v>
      </c>
      <c r="D12" s="79"/>
      <c r="I12" t="s">
        <v>174</v>
      </c>
      <c r="J12">
        <v>-1664.48</v>
      </c>
      <c r="L12">
        <f>J14+J18+J20+J22</f>
        <v>-18103.579999999998</v>
      </c>
    </row>
    <row r="13" spans="1:14" x14ac:dyDescent="0.25">
      <c r="A13" s="69" t="s">
        <v>57</v>
      </c>
      <c r="B13" s="73">
        <v>64704.91</v>
      </c>
      <c r="C13" s="73">
        <v>62433.75</v>
      </c>
      <c r="D13" s="71" t="s">
        <v>58</v>
      </c>
      <c r="I13" t="s">
        <v>177</v>
      </c>
      <c r="J13">
        <v>150000</v>
      </c>
    </row>
    <row r="14" spans="1:14" x14ac:dyDescent="0.25">
      <c r="A14" s="89" t="s">
        <v>19</v>
      </c>
      <c r="B14" s="78">
        <f>B12+B13</f>
        <v>502148.75</v>
      </c>
      <c r="C14" s="78">
        <f>C12+C13</f>
        <v>272881.82</v>
      </c>
      <c r="D14" s="79"/>
      <c r="I14" t="s">
        <v>174</v>
      </c>
      <c r="J14">
        <v>-10027.4</v>
      </c>
    </row>
    <row r="15" spans="1:14" x14ac:dyDescent="0.25">
      <c r="A15" s="69" t="s">
        <v>19</v>
      </c>
      <c r="B15" s="70">
        <f>B14</f>
        <v>502148.75</v>
      </c>
      <c r="I15" t="s">
        <v>178</v>
      </c>
      <c r="J15">
        <v>2800</v>
      </c>
    </row>
    <row r="16" spans="1:14" ht="30" x14ac:dyDescent="0.25">
      <c r="A16" s="34" t="s">
        <v>154</v>
      </c>
      <c r="B16" s="86">
        <f>B17+B18+B19</f>
        <v>-33188.21</v>
      </c>
      <c r="C16" s="24"/>
      <c r="D16" s="24"/>
      <c r="E16" s="25">
        <v>2025</v>
      </c>
      <c r="F16" s="25">
        <v>2024</v>
      </c>
      <c r="I16" t="s">
        <v>174</v>
      </c>
      <c r="J16">
        <v>-47.56</v>
      </c>
    </row>
    <row r="17" spans="1:13" x14ac:dyDescent="0.25">
      <c r="A17" t="s">
        <v>137</v>
      </c>
      <c r="B17" s="28">
        <f>-(E17-F17)</f>
        <v>10904.419999999998</v>
      </c>
      <c r="C17" s="29" t="s">
        <v>29</v>
      </c>
      <c r="D17" s="29" t="s">
        <v>30</v>
      </c>
      <c r="E17" s="28">
        <v>36661.58</v>
      </c>
      <c r="F17" s="28">
        <v>47566</v>
      </c>
      <c r="I17" t="s">
        <v>179</v>
      </c>
      <c r="J17">
        <f>165000+1750+100</f>
        <v>166850</v>
      </c>
    </row>
    <row r="18" spans="1:13" x14ac:dyDescent="0.25">
      <c r="A18" t="s">
        <v>138</v>
      </c>
      <c r="B18" s="28">
        <f>-(E18-F18)</f>
        <v>-37523.25</v>
      </c>
      <c r="C18" s="29" t="s">
        <v>31</v>
      </c>
      <c r="D18" s="29" t="s">
        <v>30</v>
      </c>
      <c r="E18" s="28">
        <f>407047.76+131.61</f>
        <v>407179.37</v>
      </c>
      <c r="F18" s="28">
        <v>369656.12</v>
      </c>
      <c r="I18" t="s">
        <v>180</v>
      </c>
      <c r="J18">
        <f>-2001.96-21.23-1.21</f>
        <v>-2024.4</v>
      </c>
    </row>
    <row r="19" spans="1:13" x14ac:dyDescent="0.25">
      <c r="A19" t="s">
        <v>139</v>
      </c>
      <c r="B19" s="28">
        <f>-(E19-F19)</f>
        <v>-6569.38</v>
      </c>
      <c r="C19" s="29" t="s">
        <v>32</v>
      </c>
      <c r="D19" s="29" t="s">
        <v>30</v>
      </c>
      <c r="E19" s="28">
        <v>6569.38</v>
      </c>
      <c r="F19" s="28">
        <v>0</v>
      </c>
      <c r="I19" t="s">
        <v>185</v>
      </c>
      <c r="J19">
        <v>68035.12</v>
      </c>
    </row>
    <row r="20" spans="1:13" ht="30" x14ac:dyDescent="0.25">
      <c r="A20" s="34" t="s">
        <v>140</v>
      </c>
      <c r="B20" s="86">
        <f>B21+B22+B23+B24+B25+B26</f>
        <v>174641.02</v>
      </c>
      <c r="E20" s="17"/>
      <c r="F20" s="17"/>
      <c r="I20" t="s">
        <v>174</v>
      </c>
      <c r="J20">
        <v>-6000</v>
      </c>
    </row>
    <row r="21" spans="1:13" x14ac:dyDescent="0.25">
      <c r="A21" s="29" t="s">
        <v>141</v>
      </c>
      <c r="B21" s="28">
        <f t="shared" ref="B21:B26" si="0">E21-F21</f>
        <v>-4182.1500000000233</v>
      </c>
      <c r="C21" s="29" t="s">
        <v>35</v>
      </c>
      <c r="D21" s="29" t="s">
        <v>30</v>
      </c>
      <c r="E21" s="28">
        <v>144903.82999999999</v>
      </c>
      <c r="F21" s="28">
        <v>149085.98000000001</v>
      </c>
      <c r="I21" t="s">
        <v>186</v>
      </c>
      <c r="J21">
        <v>20628.5</v>
      </c>
    </row>
    <row r="22" spans="1:13" x14ac:dyDescent="0.25">
      <c r="A22" s="29" t="s">
        <v>143</v>
      </c>
      <c r="B22" s="28">
        <f t="shared" si="0"/>
        <v>8700</v>
      </c>
      <c r="C22" s="29" t="s">
        <v>142</v>
      </c>
      <c r="D22" s="29" t="s">
        <v>30</v>
      </c>
      <c r="E22" s="28">
        <v>13524.62</v>
      </c>
      <c r="F22" s="28">
        <v>4824.62</v>
      </c>
      <c r="I22" t="s">
        <v>174</v>
      </c>
      <c r="J22">
        <v>-51.78</v>
      </c>
    </row>
    <row r="23" spans="1:13" x14ac:dyDescent="0.25">
      <c r="A23" s="29" t="s">
        <v>107</v>
      </c>
      <c r="B23" s="28">
        <f t="shared" si="0"/>
        <v>97249.21</v>
      </c>
      <c r="C23" s="29" t="s">
        <v>113</v>
      </c>
      <c r="D23" s="29" t="s">
        <v>30</v>
      </c>
      <c r="E23" s="28">
        <v>131834.63</v>
      </c>
      <c r="F23" s="28">
        <v>34585.42</v>
      </c>
      <c r="I23" s="1" t="s">
        <v>181</v>
      </c>
      <c r="J23" s="1">
        <f>SUM(J11:J22)</f>
        <v>438295.99999999994</v>
      </c>
    </row>
    <row r="24" spans="1:13" x14ac:dyDescent="0.25">
      <c r="A24" s="29" t="s">
        <v>146</v>
      </c>
      <c r="B24" s="28">
        <f t="shared" si="0"/>
        <v>1000</v>
      </c>
      <c r="C24" s="29" t="s">
        <v>36</v>
      </c>
      <c r="D24" s="29" t="s">
        <v>30</v>
      </c>
      <c r="E24" s="28">
        <v>1000</v>
      </c>
      <c r="F24" s="28">
        <v>0</v>
      </c>
      <c r="I24" t="s">
        <v>175</v>
      </c>
    </row>
    <row r="25" spans="1:13" x14ac:dyDescent="0.25">
      <c r="A25" s="80" t="s">
        <v>144</v>
      </c>
      <c r="B25" s="17">
        <f t="shared" si="0"/>
        <v>69632.800000000003</v>
      </c>
      <c r="C25" s="29" t="s">
        <v>145</v>
      </c>
      <c r="E25" s="92">
        <v>69632.800000000003</v>
      </c>
      <c r="F25" s="92">
        <v>0</v>
      </c>
      <c r="I25" t="s">
        <v>176</v>
      </c>
      <c r="J25">
        <v>-185000</v>
      </c>
    </row>
    <row r="26" spans="1:13" x14ac:dyDescent="0.25">
      <c r="A26" s="80" t="s">
        <v>139</v>
      </c>
      <c r="B26" s="28">
        <f t="shared" si="0"/>
        <v>2241.16</v>
      </c>
      <c r="C26" s="29" t="s">
        <v>38</v>
      </c>
      <c r="D26" s="29" t="s">
        <v>30</v>
      </c>
      <c r="E26" s="28">
        <v>4490.54</v>
      </c>
      <c r="F26" s="28">
        <v>2249.38</v>
      </c>
      <c r="I26" t="s">
        <v>174</v>
      </c>
      <c r="J26">
        <v>87875</v>
      </c>
    </row>
    <row r="27" spans="1:13" x14ac:dyDescent="0.25">
      <c r="A27" s="90" t="s">
        <v>82</v>
      </c>
      <c r="B27" s="9">
        <f>B28</f>
        <v>-40766</v>
      </c>
      <c r="C27" s="24"/>
      <c r="D27" s="24"/>
      <c r="E27" s="25"/>
      <c r="F27" s="25"/>
      <c r="I27" s="1" t="s">
        <v>187</v>
      </c>
      <c r="J27" s="1">
        <f>SUM(J25:J26)</f>
        <v>-97125</v>
      </c>
    </row>
    <row r="28" spans="1:13" ht="30" x14ac:dyDescent="0.25">
      <c r="A28" s="4" t="s">
        <v>6</v>
      </c>
      <c r="B28" s="10">
        <v>-40766</v>
      </c>
      <c r="C28" t="s">
        <v>5</v>
      </c>
      <c r="E28" s="10"/>
      <c r="I28" t="s">
        <v>188</v>
      </c>
      <c r="J28" s="1">
        <f>J23+J27</f>
        <v>341170.99999999994</v>
      </c>
    </row>
    <row r="29" spans="1:13" ht="45" x14ac:dyDescent="0.25">
      <c r="A29" s="81" t="s">
        <v>39</v>
      </c>
      <c r="B29" s="83">
        <f>B15+B16+B20+B27</f>
        <v>602835.55999999994</v>
      </c>
      <c r="C29" s="82"/>
      <c r="D29" s="82"/>
      <c r="E29" s="82"/>
      <c r="I29" s="81" t="s">
        <v>39</v>
      </c>
      <c r="J29" s="83">
        <f>B29</f>
        <v>602835.55999999994</v>
      </c>
    </row>
    <row r="30" spans="1:13" x14ac:dyDescent="0.25">
      <c r="A30" s="15" t="s">
        <v>55</v>
      </c>
      <c r="I30" s="96" t="s">
        <v>182</v>
      </c>
      <c r="J30" s="37">
        <f>J29-J28</f>
        <v>261664.56</v>
      </c>
    </row>
    <row r="31" spans="1:13" x14ac:dyDescent="0.25">
      <c r="A31" s="13" t="s">
        <v>49</v>
      </c>
      <c r="B31" s="13" t="s">
        <v>23</v>
      </c>
      <c r="C31" s="13" t="s">
        <v>24</v>
      </c>
      <c r="D31" s="13" t="s">
        <v>48</v>
      </c>
      <c r="E31">
        <v>2025</v>
      </c>
      <c r="F31">
        <v>2024</v>
      </c>
      <c r="I31" t="s">
        <v>183</v>
      </c>
      <c r="J31" s="17">
        <f>B40</f>
        <v>602835.55999999994</v>
      </c>
      <c r="M31">
        <f>2473923.5</f>
        <v>2473923.5</v>
      </c>
    </row>
    <row r="32" spans="1:13" x14ac:dyDescent="0.25">
      <c r="A32" s="15" t="s">
        <v>123</v>
      </c>
      <c r="B32" s="16">
        <v>367048.5</v>
      </c>
      <c r="C32" s="13"/>
      <c r="D32" s="13"/>
      <c r="J32" s="17">
        <f>J30-J31</f>
        <v>-341170.99999999994</v>
      </c>
      <c r="M32">
        <v>2288923.5</v>
      </c>
    </row>
    <row r="33" spans="1:13" x14ac:dyDescent="0.25">
      <c r="A33" s="3" t="s">
        <v>147</v>
      </c>
      <c r="B33" s="17">
        <f>(E33-F33)</f>
        <v>48133.52</v>
      </c>
      <c r="C33" t="s">
        <v>51</v>
      </c>
      <c r="D33" t="s">
        <v>45</v>
      </c>
      <c r="E33" s="2">
        <v>48133.52</v>
      </c>
      <c r="F33">
        <v>0</v>
      </c>
      <c r="I33" s="1" t="s">
        <v>184</v>
      </c>
      <c r="J33" s="19">
        <f>J32-B46</f>
        <v>-521844.32999999996</v>
      </c>
      <c r="M33">
        <v>1648896.92</v>
      </c>
    </row>
    <row r="34" spans="1:13" x14ac:dyDescent="0.25">
      <c r="A34" s="3" t="s">
        <v>148</v>
      </c>
      <c r="B34" s="17">
        <f>E34-F34</f>
        <v>350939.58999999985</v>
      </c>
      <c r="C34" t="s">
        <v>46</v>
      </c>
      <c r="D34" t="s">
        <v>45</v>
      </c>
      <c r="E34" s="2">
        <v>1600763.4</v>
      </c>
      <c r="F34" s="2">
        <v>1249823.81</v>
      </c>
      <c r="M34" s="6">
        <f>M31-M32</f>
        <v>185000</v>
      </c>
    </row>
    <row r="35" spans="1:13" x14ac:dyDescent="0.25">
      <c r="A35" s="1" t="s">
        <v>82</v>
      </c>
      <c r="B35" s="19">
        <f>B36+B37+B38</f>
        <v>-200441.38999999998</v>
      </c>
      <c r="J35" s="17">
        <f>J30+B76</f>
        <v>419734.52</v>
      </c>
      <c r="M35">
        <f>M31-M33</f>
        <v>825026.58000000007</v>
      </c>
    </row>
    <row r="36" spans="1:13" x14ac:dyDescent="0.25">
      <c r="A36" t="s">
        <v>149</v>
      </c>
      <c r="B36" s="26">
        <f>L12</f>
        <v>-18103.579999999998</v>
      </c>
      <c r="C36" t="s">
        <v>152</v>
      </c>
      <c r="D36" t="s">
        <v>52</v>
      </c>
      <c r="M36" s="17">
        <f>M35-M34+B35</f>
        <v>439585.19000000006</v>
      </c>
    </row>
    <row r="37" spans="1:13" x14ac:dyDescent="0.25">
      <c r="A37" t="s">
        <v>150</v>
      </c>
      <c r="B37" s="26">
        <v>-1664.48</v>
      </c>
      <c r="C37" t="s">
        <v>43</v>
      </c>
      <c r="J37" s="17">
        <f>B32+B36+B37</f>
        <v>347280.44</v>
      </c>
      <c r="M37" s="17">
        <v>-87250</v>
      </c>
    </row>
    <row r="38" spans="1:13" x14ac:dyDescent="0.25">
      <c r="A38" t="s">
        <v>61</v>
      </c>
      <c r="B38" s="2">
        <v>-180673.33</v>
      </c>
      <c r="C38" t="s">
        <v>65</v>
      </c>
      <c r="M38" s="17">
        <f>M36+M37</f>
        <v>352335.19000000006</v>
      </c>
    </row>
    <row r="39" spans="1:13" x14ac:dyDescent="0.25">
      <c r="A39" s="84" t="s">
        <v>151</v>
      </c>
      <c r="B39" s="85">
        <f>B32+B35</f>
        <v>166607.11000000002</v>
      </c>
      <c r="C39" s="82"/>
      <c r="D39" s="82"/>
      <c r="E39" s="82"/>
      <c r="J39">
        <v>2288923.5</v>
      </c>
    </row>
    <row r="40" spans="1:13" x14ac:dyDescent="0.25">
      <c r="A40" s="14" t="s">
        <v>39</v>
      </c>
      <c r="B40" s="86">
        <f>B29</f>
        <v>602835.55999999994</v>
      </c>
      <c r="J40">
        <v>1834000</v>
      </c>
    </row>
    <row r="41" spans="1:13" x14ac:dyDescent="0.25">
      <c r="A41" s="1" t="s">
        <v>151</v>
      </c>
      <c r="B41" s="19">
        <f>B39</f>
        <v>166607.11000000002</v>
      </c>
      <c r="J41">
        <f>J26</f>
        <v>87875</v>
      </c>
    </row>
    <row r="42" spans="1:13" x14ac:dyDescent="0.25">
      <c r="A42" s="84" t="s">
        <v>59</v>
      </c>
      <c r="B42" s="85">
        <f>B29-B39</f>
        <v>436228.44999999995</v>
      </c>
      <c r="C42" s="82"/>
      <c r="D42" s="82"/>
      <c r="E42" s="82"/>
      <c r="J42">
        <f>J39-J40-J41</f>
        <v>367048.5</v>
      </c>
    </row>
    <row r="43" spans="1:13" x14ac:dyDescent="0.25">
      <c r="J43" s="97">
        <f>J42+B38</f>
        <v>186375.17</v>
      </c>
    </row>
    <row r="44" spans="1:13" x14ac:dyDescent="0.25">
      <c r="A44" s="58" t="s">
        <v>132</v>
      </c>
      <c r="B44" s="60">
        <f>B45+B49</f>
        <v>-9306.3699999999953</v>
      </c>
      <c r="J44" s="2">
        <f>J43-J28</f>
        <v>-154795.82999999993</v>
      </c>
    </row>
    <row r="45" spans="1:13" x14ac:dyDescent="0.25">
      <c r="A45" s="1" t="s">
        <v>28</v>
      </c>
      <c r="B45" s="19">
        <f>B46+B47+B48</f>
        <v>302199.34000000003</v>
      </c>
      <c r="D45" s="2">
        <v>645456.80000000005</v>
      </c>
      <c r="E45" s="2">
        <v>324487.98</v>
      </c>
      <c r="F45" s="2"/>
    </row>
    <row r="46" spans="1:13" x14ac:dyDescent="0.25">
      <c r="A46" s="3" t="s">
        <v>61</v>
      </c>
      <c r="B46" s="17">
        <f t="shared" ref="B46:B47" si="1">D46-E46</f>
        <v>180673.33</v>
      </c>
      <c r="C46" s="3" t="s">
        <v>65</v>
      </c>
      <c r="D46">
        <v>180673.33</v>
      </c>
      <c r="E46">
        <v>0</v>
      </c>
      <c r="F46" s="17"/>
    </row>
    <row r="47" spans="1:13" x14ac:dyDescent="0.25">
      <c r="A47" s="3" t="s">
        <v>66</v>
      </c>
      <c r="B47" s="17">
        <f t="shared" si="1"/>
        <v>201603.73</v>
      </c>
      <c r="C47" s="3" t="s">
        <v>67</v>
      </c>
      <c r="D47">
        <v>201603.73</v>
      </c>
    </row>
    <row r="48" spans="1:13" x14ac:dyDescent="0.25">
      <c r="A48" s="3" t="s">
        <v>68</v>
      </c>
      <c r="B48" s="17">
        <f>D48-E48</f>
        <v>-80077.719999999972</v>
      </c>
      <c r="C48" s="3" t="s">
        <v>69</v>
      </c>
      <c r="D48" s="2">
        <v>194410.26</v>
      </c>
      <c r="E48" s="2">
        <v>274487.98</v>
      </c>
    </row>
    <row r="49" spans="1:10" x14ac:dyDescent="0.25">
      <c r="A49" s="58" t="s">
        <v>82</v>
      </c>
      <c r="B49" s="19">
        <f>B50+B51+B52+B53</f>
        <v>-311505.71000000002</v>
      </c>
    </row>
    <row r="50" spans="1:10" ht="30" x14ac:dyDescent="0.25">
      <c r="A50" s="52" t="s">
        <v>72</v>
      </c>
      <c r="B50" s="53">
        <v>-154428.79</v>
      </c>
      <c r="C50" s="3" t="s">
        <v>120</v>
      </c>
      <c r="D50" s="2"/>
    </row>
    <row r="51" spans="1:10" x14ac:dyDescent="0.25">
      <c r="A51" s="3" t="s">
        <v>126</v>
      </c>
      <c r="B51" s="17">
        <f>-B46</f>
        <v>-180673.33</v>
      </c>
      <c r="C51" s="3" t="s">
        <v>65</v>
      </c>
      <c r="D51" s="2"/>
    </row>
    <row r="52" spans="1:10" x14ac:dyDescent="0.25">
      <c r="A52" s="41" t="s">
        <v>127</v>
      </c>
      <c r="B52" s="20">
        <v>-46036.39</v>
      </c>
      <c r="C52" s="41" t="s">
        <v>121</v>
      </c>
      <c r="D52" s="2"/>
      <c r="J52" s="6"/>
    </row>
    <row r="53" spans="1:10" x14ac:dyDescent="0.25">
      <c r="A53" s="3" t="s">
        <v>128</v>
      </c>
      <c r="B53" s="54">
        <v>69632.800000000003</v>
      </c>
      <c r="C53" s="3" t="s">
        <v>64</v>
      </c>
      <c r="D53" s="91" t="s">
        <v>155</v>
      </c>
    </row>
    <row r="54" spans="1:10" x14ac:dyDescent="0.25">
      <c r="A54" s="58" t="s">
        <v>133</v>
      </c>
      <c r="B54" s="51">
        <f>B56</f>
        <v>18769.48</v>
      </c>
      <c r="C54" s="3"/>
      <c r="D54" s="2"/>
      <c r="J54" s="17"/>
    </row>
    <row r="55" spans="1:10" x14ac:dyDescent="0.25">
      <c r="A55" s="57" t="s">
        <v>28</v>
      </c>
      <c r="B55" s="54"/>
      <c r="C55" s="3"/>
      <c r="D55" s="2"/>
    </row>
    <row r="56" spans="1:10" x14ac:dyDescent="0.25">
      <c r="A56" s="3" t="s">
        <v>71</v>
      </c>
      <c r="B56" s="17">
        <f>D56-E49</f>
        <v>18769.48</v>
      </c>
      <c r="C56" s="3" t="s">
        <v>70</v>
      </c>
      <c r="D56" s="2">
        <v>18769.48</v>
      </c>
    </row>
    <row r="57" spans="1:10" ht="30" x14ac:dyDescent="0.25">
      <c r="A57" s="50" t="s">
        <v>134</v>
      </c>
      <c r="B57" s="19">
        <f>B59+B61+B62</f>
        <v>0</v>
      </c>
      <c r="C57" s="3"/>
      <c r="D57" s="2"/>
    </row>
    <row r="58" spans="1:10" x14ac:dyDescent="0.25">
      <c r="A58" s="57" t="s">
        <v>28</v>
      </c>
    </row>
    <row r="59" spans="1:10" x14ac:dyDescent="0.25">
      <c r="A59" s="59" t="s">
        <v>122</v>
      </c>
      <c r="B59" s="54">
        <f>D59-E59</f>
        <v>27959.539999999997</v>
      </c>
      <c r="C59" s="3" t="s">
        <v>79</v>
      </c>
      <c r="D59" s="2">
        <v>36886.519999999997</v>
      </c>
      <c r="E59" s="2">
        <v>8926.98</v>
      </c>
    </row>
    <row r="60" spans="1:10" x14ac:dyDescent="0.25">
      <c r="A60" s="57" t="s">
        <v>82</v>
      </c>
      <c r="B60" s="54"/>
      <c r="C60" s="3"/>
    </row>
    <row r="61" spans="1:10" x14ac:dyDescent="0.25">
      <c r="A61" s="59" t="s">
        <v>83</v>
      </c>
      <c r="B61" s="54">
        <v>-12614.08</v>
      </c>
      <c r="C61" s="3" t="s">
        <v>81</v>
      </c>
    </row>
    <row r="62" spans="1:10" x14ac:dyDescent="0.25">
      <c r="A62" s="59" t="s">
        <v>125</v>
      </c>
      <c r="B62" s="54">
        <v>-15345.46</v>
      </c>
      <c r="C62" s="3" t="s">
        <v>124</v>
      </c>
    </row>
    <row r="63" spans="1:10" x14ac:dyDescent="0.25">
      <c r="A63" s="50" t="s">
        <v>135</v>
      </c>
      <c r="B63" s="51">
        <f>B65+B66+B68</f>
        <v>-69359.250000000087</v>
      </c>
      <c r="C63" s="3"/>
    </row>
    <row r="64" spans="1:10" x14ac:dyDescent="0.25">
      <c r="A64" s="52" t="s">
        <v>123</v>
      </c>
      <c r="B64" s="54"/>
      <c r="C64" s="3"/>
    </row>
    <row r="65" spans="1:5" x14ac:dyDescent="0.25">
      <c r="A65" t="s">
        <v>129</v>
      </c>
      <c r="B65" s="54">
        <f>D65-E65</f>
        <v>31053.779999999912</v>
      </c>
      <c r="C65" s="3" t="s">
        <v>86</v>
      </c>
      <c r="D65" s="2">
        <v>1042282.95</v>
      </c>
      <c r="E65" s="2">
        <v>1011229.17</v>
      </c>
    </row>
    <row r="66" spans="1:5" x14ac:dyDescent="0.25">
      <c r="A66" t="s">
        <v>130</v>
      </c>
      <c r="B66" s="54">
        <f>-(D66-E66)</f>
        <v>-35708.119999999995</v>
      </c>
      <c r="C66" s="3" t="s">
        <v>34</v>
      </c>
      <c r="D66" s="2">
        <v>172029.55</v>
      </c>
      <c r="E66" s="2">
        <v>136321.43</v>
      </c>
    </row>
    <row r="67" spans="1:5" x14ac:dyDescent="0.25">
      <c r="A67" t="s">
        <v>82</v>
      </c>
    </row>
    <row r="68" spans="1:5" x14ac:dyDescent="0.25">
      <c r="A68" t="s">
        <v>131</v>
      </c>
      <c r="B68" s="10">
        <v>-64704.91</v>
      </c>
      <c r="C68" t="s">
        <v>58</v>
      </c>
    </row>
    <row r="69" spans="1:5" ht="30" x14ac:dyDescent="0.25">
      <c r="A69" s="50" t="s">
        <v>136</v>
      </c>
      <c r="B69" s="51">
        <f>B44+B54+B57+B63</f>
        <v>-59896.140000000087</v>
      </c>
      <c r="C69" s="3"/>
    </row>
    <row r="70" spans="1:5" x14ac:dyDescent="0.25">
      <c r="B70">
        <v>-3740.54</v>
      </c>
    </row>
    <row r="71" spans="1:5" x14ac:dyDescent="0.25">
      <c r="B71" s="17">
        <f>B69+B70</f>
        <v>-63636.680000000088</v>
      </c>
    </row>
    <row r="72" spans="1:5" x14ac:dyDescent="0.25">
      <c r="A72" s="15" t="s">
        <v>22</v>
      </c>
      <c r="B72" s="15" t="s">
        <v>23</v>
      </c>
    </row>
    <row r="73" spans="1:5" x14ac:dyDescent="0.25">
      <c r="A73" t="s">
        <v>99</v>
      </c>
      <c r="B73" s="17">
        <f>B42</f>
        <v>436228.44999999995</v>
      </c>
    </row>
    <row r="74" spans="1:5" x14ac:dyDescent="0.25">
      <c r="A74" t="s">
        <v>100</v>
      </c>
      <c r="B74" s="17">
        <f>B69</f>
        <v>-59896.140000000087</v>
      </c>
    </row>
    <row r="75" spans="1:5" x14ac:dyDescent="0.25">
      <c r="A75" s="15" t="s">
        <v>101</v>
      </c>
      <c r="B75" s="19">
        <f>B73-B74</f>
        <v>496124.59</v>
      </c>
      <c r="C75">
        <v>2025</v>
      </c>
      <c r="D75">
        <v>2024</v>
      </c>
    </row>
    <row r="76" spans="1:5" x14ac:dyDescent="0.25">
      <c r="A76" t="s">
        <v>161</v>
      </c>
      <c r="B76" s="37">
        <f>C76-D76</f>
        <v>158069.96</v>
      </c>
      <c r="C76" s="2">
        <v>162734.99</v>
      </c>
      <c r="D76" s="2">
        <v>4665.03</v>
      </c>
    </row>
    <row r="77" spans="1:5" x14ac:dyDescent="0.25">
      <c r="A77" s="93" t="s">
        <v>116</v>
      </c>
      <c r="B77" s="94">
        <f>B75-B76</f>
        <v>338054.63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9AB4-008E-4998-B1A8-EB62E2A43E82}">
  <dimension ref="B2:L84"/>
  <sheetViews>
    <sheetView topLeftCell="A54" zoomScale="124" zoomScaleNormal="124" workbookViewId="0">
      <selection activeCell="B53" sqref="B53:C53"/>
    </sheetView>
  </sheetViews>
  <sheetFormatPr defaultRowHeight="15" x14ac:dyDescent="0.25"/>
  <cols>
    <col min="2" max="2" width="55.85546875" bestFit="1" customWidth="1"/>
    <col min="3" max="3" width="14.28515625" bestFit="1" customWidth="1"/>
    <col min="4" max="4" width="12.42578125" bestFit="1" customWidth="1"/>
    <col min="5" max="6" width="11.85546875" bestFit="1" customWidth="1"/>
    <col min="7" max="7" width="12.5703125" bestFit="1" customWidth="1"/>
    <col min="8" max="8" width="10.42578125" bestFit="1" customWidth="1"/>
    <col min="9" max="9" width="20.140625" bestFit="1" customWidth="1"/>
    <col min="12" max="12" width="10.5703125" bestFit="1" customWidth="1"/>
  </cols>
  <sheetData>
    <row r="2" spans="2:5" x14ac:dyDescent="0.25">
      <c r="B2" s="12" t="s">
        <v>21</v>
      </c>
      <c r="C2" s="5">
        <v>2025</v>
      </c>
      <c r="D2" s="5">
        <v>2024</v>
      </c>
      <c r="E2" s="5" t="s">
        <v>0</v>
      </c>
    </row>
    <row r="3" spans="2:5" x14ac:dyDescent="0.25">
      <c r="B3" s="1" t="s">
        <v>3</v>
      </c>
      <c r="C3" s="9">
        <v>285253.52</v>
      </c>
      <c r="D3" s="9">
        <v>56127.31</v>
      </c>
      <c r="E3" t="s">
        <v>110</v>
      </c>
    </row>
    <row r="4" spans="2:5" x14ac:dyDescent="0.25">
      <c r="B4" s="1" t="s">
        <v>1</v>
      </c>
      <c r="C4" s="98">
        <f>C5+C6+C7+C8+C9</f>
        <v>226533.33</v>
      </c>
      <c r="D4" s="10">
        <f>D5+D6+D7+D8+D9</f>
        <v>172158.41</v>
      </c>
    </row>
    <row r="5" spans="2:5" x14ac:dyDescent="0.25">
      <c r="B5" s="3" t="s">
        <v>4</v>
      </c>
      <c r="C5" s="10">
        <v>152975.39000000001</v>
      </c>
      <c r="D5" s="10">
        <v>155871.43</v>
      </c>
      <c r="E5" t="s">
        <v>2</v>
      </c>
    </row>
    <row r="6" spans="2:5" x14ac:dyDescent="0.25">
      <c r="B6" s="3" t="s">
        <v>6</v>
      </c>
      <c r="C6" s="10">
        <v>40766</v>
      </c>
      <c r="D6" s="10">
        <v>7360</v>
      </c>
      <c r="E6" t="s">
        <v>5</v>
      </c>
    </row>
    <row r="7" spans="2:5" x14ac:dyDescent="0.25">
      <c r="B7" s="91" t="s">
        <v>106</v>
      </c>
      <c r="C7" s="22">
        <v>4646.6099999999997</v>
      </c>
      <c r="D7" s="10">
        <v>0</v>
      </c>
      <c r="E7" t="s">
        <v>105</v>
      </c>
    </row>
    <row r="8" spans="2:5" x14ac:dyDescent="0.25">
      <c r="B8" s="3" t="s">
        <v>8</v>
      </c>
      <c r="C8" s="10">
        <v>12614.08</v>
      </c>
      <c r="D8" s="10">
        <v>8926.98</v>
      </c>
      <c r="E8" t="s">
        <v>7</v>
      </c>
    </row>
    <row r="9" spans="2:5" x14ac:dyDescent="0.25">
      <c r="B9" s="3" t="s">
        <v>11</v>
      </c>
      <c r="C9" s="10">
        <v>15531.25</v>
      </c>
      <c r="D9" s="10"/>
      <c r="E9" t="s">
        <v>10</v>
      </c>
    </row>
    <row r="10" spans="2:5" x14ac:dyDescent="0.25">
      <c r="B10" s="1" t="s">
        <v>12</v>
      </c>
      <c r="C10" s="9">
        <f>C11+C12</f>
        <v>-973.67</v>
      </c>
      <c r="D10" s="9">
        <f>D11+D12</f>
        <v>0</v>
      </c>
    </row>
    <row r="11" spans="2:5" x14ac:dyDescent="0.25">
      <c r="B11" s="3" t="s">
        <v>14</v>
      </c>
      <c r="C11" s="10">
        <f>-743.15</f>
        <v>-743.15</v>
      </c>
      <c r="D11" s="10"/>
      <c r="E11" t="s">
        <v>13</v>
      </c>
    </row>
    <row r="12" spans="2:5" x14ac:dyDescent="0.25">
      <c r="B12" s="3" t="s">
        <v>16</v>
      </c>
      <c r="C12" s="10">
        <f>-230.52</f>
        <v>-230.52</v>
      </c>
      <c r="D12" s="10"/>
    </row>
    <row r="13" spans="2:5" x14ac:dyDescent="0.25">
      <c r="B13" s="49" t="s">
        <v>108</v>
      </c>
      <c r="C13" s="9">
        <f>C3+C4+C10</f>
        <v>510813.18</v>
      </c>
      <c r="D13" s="9">
        <f>D3+D4+D10</f>
        <v>228285.72</v>
      </c>
    </row>
    <row r="14" spans="2:5" x14ac:dyDescent="0.25">
      <c r="B14" s="1" t="s">
        <v>107</v>
      </c>
      <c r="E14" t="s">
        <v>109</v>
      </c>
    </row>
    <row r="15" spans="2:5" x14ac:dyDescent="0.25">
      <c r="B15" s="3" t="s">
        <v>20</v>
      </c>
      <c r="C15" s="10">
        <v>69442.880000000005</v>
      </c>
      <c r="D15" s="10">
        <v>17837.650000000001</v>
      </c>
    </row>
    <row r="16" spans="2:5" x14ac:dyDescent="0.25">
      <c r="B16" s="49" t="s">
        <v>56</v>
      </c>
      <c r="C16" s="9">
        <f>C13-C15</f>
        <v>441370.3</v>
      </c>
      <c r="D16" s="9">
        <f>D13-D15</f>
        <v>210448.07</v>
      </c>
    </row>
    <row r="17" spans="2:7" x14ac:dyDescent="0.25">
      <c r="B17" s="1" t="s">
        <v>57</v>
      </c>
      <c r="C17" s="10">
        <v>64704.91</v>
      </c>
      <c r="D17" s="10">
        <v>62433.75</v>
      </c>
      <c r="E17" t="s">
        <v>58</v>
      </c>
    </row>
    <row r="18" spans="2:7" x14ac:dyDescent="0.25">
      <c r="B18" s="1" t="s">
        <v>19</v>
      </c>
      <c r="C18" s="9">
        <f>C16+C17</f>
        <v>506075.20999999996</v>
      </c>
      <c r="D18" s="9">
        <f>D16+D17</f>
        <v>272881.82</v>
      </c>
    </row>
    <row r="20" spans="2:7" x14ac:dyDescent="0.25">
      <c r="B20" s="69" t="s">
        <v>19</v>
      </c>
      <c r="C20" s="70">
        <f>C18</f>
        <v>506075.20999999996</v>
      </c>
    </row>
    <row r="21" spans="2:7" ht="30" x14ac:dyDescent="0.25">
      <c r="B21" s="34" t="s">
        <v>154</v>
      </c>
      <c r="C21" s="86">
        <f>C22+C23+C24</f>
        <v>-33188.21</v>
      </c>
      <c r="D21" s="24"/>
      <c r="E21" s="24"/>
      <c r="F21" s="25">
        <v>2025</v>
      </c>
      <c r="G21" s="25">
        <v>2024</v>
      </c>
    </row>
    <row r="22" spans="2:7" x14ac:dyDescent="0.25">
      <c r="B22" t="s">
        <v>137</v>
      </c>
      <c r="C22" s="28">
        <f>-(F22-G22)</f>
        <v>10904.419999999998</v>
      </c>
      <c r="D22" s="29" t="s">
        <v>29</v>
      </c>
      <c r="E22" s="29" t="s">
        <v>30</v>
      </c>
      <c r="F22" s="28">
        <v>36661.58</v>
      </c>
      <c r="G22" s="28">
        <v>47566</v>
      </c>
    </row>
    <row r="23" spans="2:7" x14ac:dyDescent="0.25">
      <c r="B23" t="s">
        <v>138</v>
      </c>
      <c r="C23" s="28">
        <f>-(F23-G23)</f>
        <v>-37523.25</v>
      </c>
      <c r="D23" s="29" t="s">
        <v>31</v>
      </c>
      <c r="E23" s="29" t="s">
        <v>30</v>
      </c>
      <c r="F23" s="28">
        <f>407047.76+131.61</f>
        <v>407179.37</v>
      </c>
      <c r="G23" s="28">
        <v>369656.12</v>
      </c>
    </row>
    <row r="24" spans="2:7" x14ac:dyDescent="0.25">
      <c r="B24" t="s">
        <v>139</v>
      </c>
      <c r="C24" s="28">
        <f>-(F24-G24)</f>
        <v>-6569.38</v>
      </c>
      <c r="D24" s="29" t="s">
        <v>32</v>
      </c>
      <c r="E24" s="29" t="s">
        <v>30</v>
      </c>
      <c r="F24" s="28">
        <v>6569.38</v>
      </c>
      <c r="G24" s="28">
        <v>0</v>
      </c>
    </row>
    <row r="25" spans="2:7" x14ac:dyDescent="0.25">
      <c r="B25" s="34" t="s">
        <v>140</v>
      </c>
      <c r="C25" s="86">
        <f>C26+C27+C28+C29+C30+C31</f>
        <v>174641.02</v>
      </c>
      <c r="F25" s="17"/>
      <c r="G25" s="17"/>
    </row>
    <row r="26" spans="2:7" x14ac:dyDescent="0.25">
      <c r="B26" s="29" t="s">
        <v>141</v>
      </c>
      <c r="C26" s="28">
        <f t="shared" ref="C26:C31" si="0">F26-G26</f>
        <v>-4182.1500000000233</v>
      </c>
      <c r="D26" s="29" t="s">
        <v>35</v>
      </c>
      <c r="E26" s="29" t="s">
        <v>30</v>
      </c>
      <c r="F26" s="28">
        <v>144903.82999999999</v>
      </c>
      <c r="G26" s="28">
        <v>149085.98000000001</v>
      </c>
    </row>
    <row r="27" spans="2:7" x14ac:dyDescent="0.25">
      <c r="B27" s="29" t="s">
        <v>143</v>
      </c>
      <c r="C27" s="28">
        <f t="shared" si="0"/>
        <v>8700</v>
      </c>
      <c r="D27" s="29" t="s">
        <v>142</v>
      </c>
      <c r="E27" s="29" t="s">
        <v>30</v>
      </c>
      <c r="F27" s="28">
        <v>13524.62</v>
      </c>
      <c r="G27" s="28">
        <v>4824.62</v>
      </c>
    </row>
    <row r="28" spans="2:7" x14ac:dyDescent="0.25">
      <c r="B28" s="29" t="s">
        <v>107</v>
      </c>
      <c r="C28" s="28">
        <f t="shared" si="0"/>
        <v>97249.21</v>
      </c>
      <c r="D28" s="29" t="s">
        <v>113</v>
      </c>
      <c r="E28" s="29" t="s">
        <v>30</v>
      </c>
      <c r="F28" s="28">
        <v>131834.63</v>
      </c>
      <c r="G28" s="28">
        <v>34585.42</v>
      </c>
    </row>
    <row r="29" spans="2:7" x14ac:dyDescent="0.25">
      <c r="B29" s="29" t="s">
        <v>146</v>
      </c>
      <c r="C29" s="28">
        <f t="shared" si="0"/>
        <v>1000</v>
      </c>
      <c r="D29" s="29" t="s">
        <v>36</v>
      </c>
      <c r="E29" s="29" t="s">
        <v>30</v>
      </c>
      <c r="F29" s="28">
        <v>1000</v>
      </c>
      <c r="G29" s="28">
        <v>0</v>
      </c>
    </row>
    <row r="30" spans="2:7" x14ac:dyDescent="0.25">
      <c r="B30" s="80" t="s">
        <v>144</v>
      </c>
      <c r="C30" s="17">
        <f t="shared" si="0"/>
        <v>69632.800000000003</v>
      </c>
      <c r="D30" s="29" t="s">
        <v>145</v>
      </c>
      <c r="F30" s="92">
        <v>69632.800000000003</v>
      </c>
      <c r="G30" s="92">
        <v>0</v>
      </c>
    </row>
    <row r="31" spans="2:7" x14ac:dyDescent="0.25">
      <c r="B31" s="80" t="s">
        <v>139</v>
      </c>
      <c r="C31" s="28">
        <f t="shared" si="0"/>
        <v>2241.16</v>
      </c>
      <c r="D31" s="29" t="s">
        <v>38</v>
      </c>
      <c r="E31" s="29" t="s">
        <v>30</v>
      </c>
      <c r="F31" s="28">
        <v>4490.54</v>
      </c>
      <c r="G31" s="28">
        <v>2249.38</v>
      </c>
    </row>
    <row r="32" spans="2:7" x14ac:dyDescent="0.25">
      <c r="B32" s="90" t="s">
        <v>82</v>
      </c>
      <c r="C32" s="9">
        <f>C33</f>
        <v>-40766</v>
      </c>
      <c r="D32" s="24"/>
      <c r="E32" s="24"/>
      <c r="F32" s="25"/>
      <c r="G32" s="25"/>
    </row>
    <row r="33" spans="2:12" x14ac:dyDescent="0.25">
      <c r="B33" s="4" t="s">
        <v>6</v>
      </c>
      <c r="C33" s="10">
        <v>-40766</v>
      </c>
      <c r="D33" t="s">
        <v>5</v>
      </c>
      <c r="F33" s="10"/>
      <c r="I33" s="6" t="s">
        <v>171</v>
      </c>
      <c r="J33" s="6"/>
    </row>
    <row r="34" spans="2:12" x14ac:dyDescent="0.25">
      <c r="B34" s="14" t="s">
        <v>39</v>
      </c>
      <c r="C34" s="86">
        <f>C20+C21+C25+C32</f>
        <v>606762.0199999999</v>
      </c>
      <c r="I34" s="6" t="s">
        <v>172</v>
      </c>
      <c r="J34" s="6"/>
    </row>
    <row r="35" spans="2:12" x14ac:dyDescent="0.25">
      <c r="I35" s="6" t="s">
        <v>173</v>
      </c>
      <c r="J35" s="6">
        <v>49798</v>
      </c>
    </row>
    <row r="36" spans="2:12" x14ac:dyDescent="0.25">
      <c r="I36" s="6" t="s">
        <v>174</v>
      </c>
      <c r="J36" s="6">
        <v>-1664.48</v>
      </c>
    </row>
    <row r="37" spans="2:12" x14ac:dyDescent="0.25">
      <c r="B37" s="15" t="s">
        <v>55</v>
      </c>
      <c r="I37" s="99" t="s">
        <v>190</v>
      </c>
      <c r="J37" s="99">
        <f>J39+J41+J43+J45+J47</f>
        <v>408313.62</v>
      </c>
    </row>
    <row r="38" spans="2:12" x14ac:dyDescent="0.25">
      <c r="B38" s="13" t="s">
        <v>49</v>
      </c>
      <c r="C38" s="13" t="s">
        <v>23</v>
      </c>
      <c r="D38" s="13" t="s">
        <v>24</v>
      </c>
      <c r="E38" s="13" t="s">
        <v>48</v>
      </c>
      <c r="F38">
        <v>2025</v>
      </c>
      <c r="G38">
        <v>2024</v>
      </c>
      <c r="I38" s="99" t="s">
        <v>191</v>
      </c>
      <c r="J38" s="99">
        <f>J40+J42+J44+J46+J48</f>
        <v>-18151.14</v>
      </c>
      <c r="L38" s="2">
        <v>590125.5</v>
      </c>
    </row>
    <row r="39" spans="2:12" x14ac:dyDescent="0.25">
      <c r="B39" s="15" t="s">
        <v>123</v>
      </c>
      <c r="C39" s="16">
        <f>C41+C40</f>
        <v>454923.5</v>
      </c>
      <c r="D39" s="13"/>
      <c r="E39" s="13"/>
      <c r="I39" s="6" t="s">
        <v>177</v>
      </c>
      <c r="J39" s="6">
        <v>150000</v>
      </c>
      <c r="L39" s="2">
        <v>185000</v>
      </c>
    </row>
    <row r="40" spans="2:12" x14ac:dyDescent="0.25">
      <c r="B40" s="3" t="s">
        <v>147</v>
      </c>
      <c r="C40" s="17">
        <f>F40-G40</f>
        <v>49798</v>
      </c>
      <c r="D40" t="s">
        <v>51</v>
      </c>
      <c r="E40" t="s">
        <v>45</v>
      </c>
      <c r="F40" s="2">
        <v>49798</v>
      </c>
      <c r="G40">
        <v>0</v>
      </c>
      <c r="I40" s="6" t="s">
        <v>174</v>
      </c>
      <c r="J40" s="6">
        <v>-10027.4</v>
      </c>
      <c r="L40" s="2">
        <f>L38-L39</f>
        <v>405125.5</v>
      </c>
    </row>
    <row r="41" spans="2:12" x14ac:dyDescent="0.25">
      <c r="B41" s="3" t="s">
        <v>148</v>
      </c>
      <c r="C41" s="17">
        <f>F41-G41</f>
        <v>405125.5</v>
      </c>
      <c r="D41" t="s">
        <v>46</v>
      </c>
      <c r="E41" t="s">
        <v>45</v>
      </c>
      <c r="F41" s="2">
        <v>2239125.5</v>
      </c>
      <c r="G41">
        <v>1834000</v>
      </c>
      <c r="I41" s="6" t="s">
        <v>178</v>
      </c>
      <c r="J41" s="6">
        <v>2800</v>
      </c>
    </row>
    <row r="42" spans="2:12" x14ac:dyDescent="0.25">
      <c r="B42" s="1" t="s">
        <v>82</v>
      </c>
      <c r="C42" s="19">
        <f>C43+C44+C45</f>
        <v>-333648.71999999997</v>
      </c>
      <c r="I42" s="6" t="s">
        <v>174</v>
      </c>
      <c r="J42" s="6">
        <v>-47.56</v>
      </c>
    </row>
    <row r="43" spans="2:12" x14ac:dyDescent="0.25">
      <c r="B43" t="s">
        <v>149</v>
      </c>
      <c r="C43" s="2">
        <v>-151310.91</v>
      </c>
      <c r="D43" t="s">
        <v>152</v>
      </c>
      <c r="E43" t="s">
        <v>52</v>
      </c>
      <c r="F43" s="26">
        <f>J38</f>
        <v>-18151.14</v>
      </c>
      <c r="I43" s="6" t="s">
        <v>179</v>
      </c>
      <c r="J43" s="6">
        <f>165000+1750+100</f>
        <v>166850</v>
      </c>
    </row>
    <row r="44" spans="2:12" x14ac:dyDescent="0.25">
      <c r="B44" t="s">
        <v>150</v>
      </c>
      <c r="C44" s="26">
        <v>-1664.48</v>
      </c>
      <c r="D44" t="s">
        <v>43</v>
      </c>
      <c r="I44" s="6" t="s">
        <v>180</v>
      </c>
      <c r="J44" s="6">
        <f>-2001.96-21.23-1.21</f>
        <v>-2024.4</v>
      </c>
    </row>
    <row r="45" spans="2:12" x14ac:dyDescent="0.25">
      <c r="B45" t="s">
        <v>61</v>
      </c>
      <c r="C45" s="2">
        <v>-180673.33</v>
      </c>
      <c r="D45" t="s">
        <v>65</v>
      </c>
      <c r="I45" s="6" t="s">
        <v>185</v>
      </c>
      <c r="J45" s="6">
        <v>68035.12</v>
      </c>
    </row>
    <row r="46" spans="2:12" x14ac:dyDescent="0.25">
      <c r="B46" s="1" t="s">
        <v>151</v>
      </c>
      <c r="C46" s="19">
        <f>C39+C42</f>
        <v>121274.78000000003</v>
      </c>
      <c r="I46" s="6" t="s">
        <v>174</v>
      </c>
      <c r="J46" s="6">
        <v>-6000</v>
      </c>
    </row>
    <row r="47" spans="2:12" x14ac:dyDescent="0.25">
      <c r="C47" s="17"/>
      <c r="I47" s="6" t="s">
        <v>186</v>
      </c>
      <c r="J47" s="6">
        <v>20628.5</v>
      </c>
    </row>
    <row r="48" spans="2:12" x14ac:dyDescent="0.25">
      <c r="C48" s="86" t="str">
        <f>C38</f>
        <v>Bedrag (€)</v>
      </c>
      <c r="I48" s="6" t="s">
        <v>174</v>
      </c>
      <c r="J48" s="6">
        <v>-51.78</v>
      </c>
    </row>
    <row r="49" spans="2:10" x14ac:dyDescent="0.25">
      <c r="B49" s="14" t="s">
        <v>39</v>
      </c>
      <c r="C49" s="19">
        <f>C34</f>
        <v>606762.0199999999</v>
      </c>
      <c r="D49" s="17">
        <f>C49</f>
        <v>606762.0199999999</v>
      </c>
      <c r="I49" s="39" t="s">
        <v>181</v>
      </c>
      <c r="J49" s="39">
        <f>J37+J35-J36-J38</f>
        <v>477927.24</v>
      </c>
    </row>
    <row r="50" spans="2:10" x14ac:dyDescent="0.25">
      <c r="B50" s="1" t="s">
        <v>151</v>
      </c>
      <c r="C50" s="19">
        <f>C46</f>
        <v>121274.78000000003</v>
      </c>
      <c r="D50">
        <f>J54</f>
        <v>380802.24</v>
      </c>
      <c r="I50" s="6" t="s">
        <v>175</v>
      </c>
      <c r="J50" s="6"/>
    </row>
    <row r="51" spans="2:10" x14ac:dyDescent="0.25">
      <c r="B51" s="1" t="s">
        <v>59</v>
      </c>
      <c r="C51" s="19">
        <f>C49-C50</f>
        <v>485487.23999999987</v>
      </c>
      <c r="D51" s="19">
        <f>D49-D50</f>
        <v>225959.77999999991</v>
      </c>
      <c r="I51" s="6" t="s">
        <v>176</v>
      </c>
      <c r="J51" s="6">
        <v>-185000</v>
      </c>
    </row>
    <row r="52" spans="2:10" x14ac:dyDescent="0.25">
      <c r="C52" s="17"/>
      <c r="I52" s="6" t="s">
        <v>174</v>
      </c>
      <c r="J52" s="6">
        <v>87875</v>
      </c>
    </row>
    <row r="53" spans="2:10" x14ac:dyDescent="0.25">
      <c r="B53" s="99" t="s">
        <v>161</v>
      </c>
      <c r="C53" s="99">
        <v>158069.96</v>
      </c>
      <c r="I53" s="39" t="s">
        <v>187</v>
      </c>
      <c r="J53" s="39">
        <f>SUM(J51:J52)</f>
        <v>-97125</v>
      </c>
    </row>
    <row r="54" spans="2:10" x14ac:dyDescent="0.25">
      <c r="F54" s="2"/>
      <c r="G54" s="2"/>
      <c r="I54" s="6" t="s">
        <v>188</v>
      </c>
      <c r="J54" s="39">
        <f>J49+J53</f>
        <v>380802.24</v>
      </c>
    </row>
    <row r="55" spans="2:10" x14ac:dyDescent="0.25">
      <c r="I55" s="20">
        <f>C34-J54</f>
        <v>225959.77999999991</v>
      </c>
      <c r="J55" t="s">
        <v>189</v>
      </c>
    </row>
    <row r="56" spans="2:10" x14ac:dyDescent="0.25">
      <c r="B56" s="58" t="s">
        <v>132</v>
      </c>
      <c r="C56" s="60">
        <f>C57+C61</f>
        <v>142122.42000000004</v>
      </c>
    </row>
    <row r="57" spans="2:10" x14ac:dyDescent="0.25">
      <c r="B57" s="1" t="s">
        <v>28</v>
      </c>
      <c r="C57" s="19">
        <f>C58+C59+C60</f>
        <v>302199.34000000003</v>
      </c>
      <c r="E57" s="2">
        <v>645456.80000000005</v>
      </c>
      <c r="F57" s="2">
        <v>324487.98</v>
      </c>
    </row>
    <row r="58" spans="2:10" x14ac:dyDescent="0.25">
      <c r="B58" s="3" t="s">
        <v>61</v>
      </c>
      <c r="C58" s="17">
        <f t="shared" ref="C58:C59" si="1">E58-F58</f>
        <v>180673.33</v>
      </c>
      <c r="D58" s="3" t="s">
        <v>65</v>
      </c>
      <c r="E58">
        <v>180673.33</v>
      </c>
      <c r="F58">
        <v>0</v>
      </c>
    </row>
    <row r="59" spans="2:10" x14ac:dyDescent="0.25">
      <c r="B59" s="3" t="s">
        <v>66</v>
      </c>
      <c r="C59" s="17">
        <f t="shared" si="1"/>
        <v>201603.73</v>
      </c>
      <c r="D59" s="3" t="s">
        <v>67</v>
      </c>
      <c r="E59">
        <v>201603.73</v>
      </c>
      <c r="I59" s="17">
        <f>C34-J54</f>
        <v>225959.77999999991</v>
      </c>
    </row>
    <row r="60" spans="2:10" x14ac:dyDescent="0.25">
      <c r="B60" s="3" t="s">
        <v>68</v>
      </c>
      <c r="C60" s="17">
        <f>E60-F60</f>
        <v>-80077.719999999972</v>
      </c>
      <c r="D60" s="3" t="s">
        <v>69</v>
      </c>
      <c r="E60" s="2">
        <v>194410.26</v>
      </c>
      <c r="F60" s="2">
        <v>274487.98</v>
      </c>
      <c r="I60" s="17">
        <f>I59-C81</f>
        <v>-29653.560000000056</v>
      </c>
    </row>
    <row r="61" spans="2:10" x14ac:dyDescent="0.25">
      <c r="B61" s="58" t="s">
        <v>82</v>
      </c>
      <c r="C61" s="19">
        <f>C62+C63+C64+C65</f>
        <v>-160076.91999999998</v>
      </c>
      <c r="I61" s="100">
        <f>C53-I60</f>
        <v>187723.52000000005</v>
      </c>
    </row>
    <row r="62" spans="2:10" x14ac:dyDescent="0.25">
      <c r="B62" s="52" t="s">
        <v>72</v>
      </c>
      <c r="C62" s="53"/>
      <c r="D62" s="3" t="s">
        <v>120</v>
      </c>
      <c r="E62" s="2"/>
    </row>
    <row r="63" spans="2:10" x14ac:dyDescent="0.25">
      <c r="B63" s="3" t="s">
        <v>126</v>
      </c>
      <c r="C63" s="17">
        <f>-C58</f>
        <v>-180673.33</v>
      </c>
      <c r="D63" s="3" t="s">
        <v>65</v>
      </c>
      <c r="E63" s="2"/>
    </row>
    <row r="64" spans="2:10" x14ac:dyDescent="0.25">
      <c r="B64" s="41" t="s">
        <v>127</v>
      </c>
      <c r="C64" s="20">
        <v>-49036.39</v>
      </c>
      <c r="D64" s="41" t="s">
        <v>121</v>
      </c>
      <c r="E64" s="2"/>
    </row>
    <row r="65" spans="2:7" x14ac:dyDescent="0.25">
      <c r="B65" s="3" t="s">
        <v>128</v>
      </c>
      <c r="C65" s="54">
        <v>69632.800000000003</v>
      </c>
      <c r="D65" s="3" t="s">
        <v>64</v>
      </c>
      <c r="E65" s="91" t="s">
        <v>155</v>
      </c>
      <c r="G65" s="17"/>
    </row>
    <row r="66" spans="2:7" x14ac:dyDescent="0.25">
      <c r="B66" s="58" t="s">
        <v>133</v>
      </c>
      <c r="C66" s="51">
        <f>C68</f>
        <v>18769.48</v>
      </c>
      <c r="D66" s="3"/>
      <c r="E66" s="2"/>
      <c r="G66" s="17"/>
    </row>
    <row r="67" spans="2:7" x14ac:dyDescent="0.25">
      <c r="B67" s="57" t="s">
        <v>28</v>
      </c>
      <c r="C67" s="54"/>
      <c r="D67" s="3"/>
      <c r="E67" s="2"/>
    </row>
    <row r="68" spans="2:7" x14ac:dyDescent="0.25">
      <c r="B68" s="3" t="s">
        <v>71</v>
      </c>
      <c r="C68" s="17">
        <f>E68-F61</f>
        <v>18769.48</v>
      </c>
      <c r="D68" s="3" t="s">
        <v>70</v>
      </c>
      <c r="E68" s="2">
        <v>18769.48</v>
      </c>
    </row>
    <row r="69" spans="2:7" x14ac:dyDescent="0.25">
      <c r="B69" s="50" t="s">
        <v>134</v>
      </c>
      <c r="C69" s="19">
        <f>C71+C73+C74</f>
        <v>27959.539999999997</v>
      </c>
      <c r="D69" s="3"/>
      <c r="E69" s="2"/>
    </row>
    <row r="70" spans="2:7" x14ac:dyDescent="0.25">
      <c r="B70" s="57" t="s">
        <v>28</v>
      </c>
    </row>
    <row r="71" spans="2:7" x14ac:dyDescent="0.25">
      <c r="B71" s="59" t="s">
        <v>122</v>
      </c>
      <c r="C71" s="54">
        <f>E71-F71</f>
        <v>27959.539999999997</v>
      </c>
      <c r="D71" s="3" t="s">
        <v>79</v>
      </c>
      <c r="E71" s="2">
        <v>36886.519999999997</v>
      </c>
      <c r="F71" s="2">
        <v>8926.98</v>
      </c>
    </row>
    <row r="72" spans="2:7" x14ac:dyDescent="0.25">
      <c r="B72" s="57" t="s">
        <v>82</v>
      </c>
      <c r="C72" s="54"/>
      <c r="D72" s="3"/>
    </row>
    <row r="73" spans="2:7" x14ac:dyDescent="0.25">
      <c r="B73" s="59" t="s">
        <v>83</v>
      </c>
      <c r="C73" s="54"/>
      <c r="D73" s="3" t="s">
        <v>81</v>
      </c>
    </row>
    <row r="74" spans="2:7" x14ac:dyDescent="0.25">
      <c r="B74" s="59" t="s">
        <v>125</v>
      </c>
      <c r="C74" s="54"/>
      <c r="D74" s="3" t="s">
        <v>124</v>
      </c>
    </row>
    <row r="75" spans="2:7" x14ac:dyDescent="0.25">
      <c r="B75" s="50" t="s">
        <v>135</v>
      </c>
      <c r="C75" s="51">
        <f>C77+C78+C80</f>
        <v>66761.899999999907</v>
      </c>
      <c r="D75" s="3"/>
    </row>
    <row r="76" spans="2:7" x14ac:dyDescent="0.25">
      <c r="B76" s="52" t="s">
        <v>123</v>
      </c>
      <c r="C76" s="54"/>
      <c r="D76" s="3"/>
    </row>
    <row r="77" spans="2:7" x14ac:dyDescent="0.25">
      <c r="B77" t="s">
        <v>129</v>
      </c>
      <c r="C77" s="54">
        <f>E77-F77</f>
        <v>31053.779999999912</v>
      </c>
      <c r="D77" s="3" t="s">
        <v>86</v>
      </c>
      <c r="E77" s="2">
        <v>1042282.95</v>
      </c>
      <c r="F77" s="2">
        <v>1011229.17</v>
      </c>
    </row>
    <row r="78" spans="2:7" x14ac:dyDescent="0.25">
      <c r="B78" t="s">
        <v>130</v>
      </c>
      <c r="C78" s="54">
        <f>(E78-F78)</f>
        <v>35708.119999999995</v>
      </c>
      <c r="D78" s="3" t="s">
        <v>34</v>
      </c>
      <c r="E78" s="2">
        <v>172029.55</v>
      </c>
      <c r="F78" s="2">
        <v>136321.43</v>
      </c>
    </row>
    <row r="79" spans="2:7" x14ac:dyDescent="0.25">
      <c r="B79" t="s">
        <v>82</v>
      </c>
    </row>
    <row r="80" spans="2:7" x14ac:dyDescent="0.25">
      <c r="B80" t="s">
        <v>131</v>
      </c>
      <c r="D80" t="s">
        <v>58</v>
      </c>
      <c r="E80" s="2"/>
      <c r="F80" s="10">
        <v>-3740.54</v>
      </c>
    </row>
    <row r="81" spans="2:6" x14ac:dyDescent="0.25">
      <c r="B81" s="50" t="s">
        <v>136</v>
      </c>
      <c r="C81" s="51">
        <f>C56+C66+C69+C75</f>
        <v>255613.33999999997</v>
      </c>
      <c r="D81" s="3"/>
      <c r="E81" s="2"/>
    </row>
    <row r="82" spans="2:6" x14ac:dyDescent="0.25">
      <c r="E82" s="2"/>
    </row>
    <row r="83" spans="2:6" x14ac:dyDescent="0.25">
      <c r="C83" s="17">
        <f>C51-C81</f>
        <v>229873.89999999991</v>
      </c>
      <c r="F83" s="2">
        <f>F60-C53</f>
        <v>116418.01999999999</v>
      </c>
    </row>
    <row r="84" spans="2:6" x14ac:dyDescent="0.25">
      <c r="C84" s="17">
        <f>C83-C53</f>
        <v>71803.939999999915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1F1F-E239-43AF-A908-BF323F1B7278}">
  <dimension ref="B2:K95"/>
  <sheetViews>
    <sheetView tabSelected="1" topLeftCell="A74" zoomScale="124" zoomScaleNormal="124" workbookViewId="0">
      <selection activeCell="C96" sqref="C96"/>
    </sheetView>
  </sheetViews>
  <sheetFormatPr defaultRowHeight="15" x14ac:dyDescent="0.25"/>
  <cols>
    <col min="1" max="1" width="9.140625" style="101"/>
    <col min="2" max="2" width="55.85546875" style="101" bestFit="1" customWidth="1"/>
    <col min="3" max="4" width="12.42578125" style="101" bestFit="1" customWidth="1"/>
    <col min="5" max="5" width="14" style="101" bestFit="1" customWidth="1"/>
    <col min="6" max="7" width="13.5703125" style="101" bestFit="1" customWidth="1"/>
    <col min="8" max="8" width="11.85546875" style="101" bestFit="1" customWidth="1"/>
    <col min="9" max="9" width="20.140625" style="101" bestFit="1" customWidth="1"/>
    <col min="10" max="10" width="10.85546875" style="101" bestFit="1" customWidth="1"/>
    <col min="11" max="16384" width="9.140625" style="101"/>
  </cols>
  <sheetData>
    <row r="2" spans="2:7" x14ac:dyDescent="0.25">
      <c r="B2" s="12" t="s">
        <v>21</v>
      </c>
      <c r="C2" s="5">
        <v>2025</v>
      </c>
      <c r="D2" s="5">
        <v>2024</v>
      </c>
      <c r="E2" s="5" t="s">
        <v>0</v>
      </c>
    </row>
    <row r="3" spans="2:7" x14ac:dyDescent="0.25">
      <c r="B3" s="102" t="s">
        <v>3</v>
      </c>
      <c r="C3" s="103">
        <v>285253.52</v>
      </c>
      <c r="D3" s="103">
        <v>56127.31</v>
      </c>
      <c r="E3" s="101" t="s">
        <v>110</v>
      </c>
    </row>
    <row r="4" spans="2:7" x14ac:dyDescent="0.25">
      <c r="B4" s="102" t="s">
        <v>1</v>
      </c>
      <c r="C4" s="104">
        <f>C5+C6+C7+C8+C9</f>
        <v>221886.72</v>
      </c>
      <c r="D4" s="105">
        <f>D5+D6+D7+D8+D9</f>
        <v>172158.41</v>
      </c>
    </row>
    <row r="5" spans="2:7" x14ac:dyDescent="0.25">
      <c r="B5" s="3" t="s">
        <v>4</v>
      </c>
      <c r="C5" s="105">
        <v>152975.39000000001</v>
      </c>
      <c r="D5" s="105">
        <v>155871.43</v>
      </c>
      <c r="E5" s="101" t="s">
        <v>2</v>
      </c>
    </row>
    <row r="6" spans="2:7" x14ac:dyDescent="0.25">
      <c r="B6" s="3" t="s">
        <v>6</v>
      </c>
      <c r="C6" s="105">
        <v>40766</v>
      </c>
      <c r="D6" s="105">
        <v>7360</v>
      </c>
      <c r="E6" s="101" t="s">
        <v>5</v>
      </c>
    </row>
    <row r="7" spans="2:7" x14ac:dyDescent="0.25">
      <c r="B7" s="91"/>
      <c r="C7" s="106"/>
      <c r="D7" s="105"/>
    </row>
    <row r="8" spans="2:7" x14ac:dyDescent="0.25">
      <c r="B8" s="3" t="s">
        <v>8</v>
      </c>
      <c r="C8" s="105">
        <v>12614.08</v>
      </c>
      <c r="D8" s="105">
        <v>8926.98</v>
      </c>
      <c r="E8" s="101" t="s">
        <v>7</v>
      </c>
    </row>
    <row r="9" spans="2:7" x14ac:dyDescent="0.25">
      <c r="B9" s="3" t="s">
        <v>11</v>
      </c>
      <c r="C9" s="105">
        <v>15531.25</v>
      </c>
      <c r="D9" s="105"/>
      <c r="E9" s="101" t="s">
        <v>10</v>
      </c>
      <c r="G9" s="105"/>
    </row>
    <row r="10" spans="2:7" x14ac:dyDescent="0.25">
      <c r="B10" s="102" t="s">
        <v>12</v>
      </c>
      <c r="C10" s="103">
        <f>C11+C12</f>
        <v>-973.67</v>
      </c>
      <c r="D10" s="103">
        <f>D11+D12</f>
        <v>0</v>
      </c>
      <c r="G10" s="105"/>
    </row>
    <row r="11" spans="2:7" x14ac:dyDescent="0.25">
      <c r="B11" s="3" t="s">
        <v>14</v>
      </c>
      <c r="C11" s="105">
        <f>-743.15</f>
        <v>-743.15</v>
      </c>
      <c r="D11" s="105"/>
      <c r="E11" s="101" t="s">
        <v>13</v>
      </c>
      <c r="G11" s="105"/>
    </row>
    <row r="12" spans="2:7" x14ac:dyDescent="0.25">
      <c r="B12" s="3" t="s">
        <v>16</v>
      </c>
      <c r="C12" s="105">
        <f>-230.52</f>
        <v>-230.52</v>
      </c>
      <c r="D12" s="105"/>
      <c r="G12" s="105"/>
    </row>
    <row r="13" spans="2:7" x14ac:dyDescent="0.25">
      <c r="B13" s="49" t="s">
        <v>108</v>
      </c>
      <c r="C13" s="103">
        <f>C3+C4+C10</f>
        <v>506166.57</v>
      </c>
      <c r="D13" s="103">
        <f>D3+D4+D10</f>
        <v>228285.72</v>
      </c>
    </row>
    <row r="14" spans="2:7" x14ac:dyDescent="0.25">
      <c r="B14" s="102" t="s">
        <v>107</v>
      </c>
      <c r="E14" s="101" t="s">
        <v>109</v>
      </c>
    </row>
    <row r="15" spans="2:7" x14ac:dyDescent="0.25">
      <c r="B15" s="3" t="s">
        <v>20</v>
      </c>
      <c r="C15" s="105">
        <v>69442.880000000005</v>
      </c>
      <c r="D15" s="105">
        <v>17837.650000000001</v>
      </c>
    </row>
    <row r="16" spans="2:7" x14ac:dyDescent="0.25">
      <c r="B16" s="49" t="s">
        <v>56</v>
      </c>
      <c r="C16" s="103">
        <f>C13-C15</f>
        <v>436723.69</v>
      </c>
      <c r="D16" s="103">
        <f>D13-D15</f>
        <v>210448.07</v>
      </c>
    </row>
    <row r="17" spans="2:7" x14ac:dyDescent="0.25">
      <c r="B17" s="102" t="s">
        <v>57</v>
      </c>
      <c r="C17" s="105">
        <v>64704.91</v>
      </c>
      <c r="D17" s="105">
        <v>62433.75</v>
      </c>
      <c r="E17" s="101" t="s">
        <v>58</v>
      </c>
    </row>
    <row r="18" spans="2:7" x14ac:dyDescent="0.25">
      <c r="B18" s="102" t="s">
        <v>19</v>
      </c>
      <c r="C18" s="103">
        <f>C16+C17</f>
        <v>501428.6</v>
      </c>
      <c r="D18" s="103">
        <f>D16+D17</f>
        <v>272881.82</v>
      </c>
    </row>
    <row r="20" spans="2:7" x14ac:dyDescent="0.25">
      <c r="B20" s="102" t="s">
        <v>19</v>
      </c>
      <c r="C20" s="103">
        <f>C18</f>
        <v>501428.6</v>
      </c>
    </row>
    <row r="22" spans="2:7" ht="30" x14ac:dyDescent="0.25">
      <c r="B22" s="14" t="s">
        <v>154</v>
      </c>
      <c r="C22" s="86">
        <f>C23+C24+C25</f>
        <v>-33188.21</v>
      </c>
      <c r="D22" s="24"/>
      <c r="E22" s="24"/>
      <c r="F22" s="25">
        <v>2025</v>
      </c>
      <c r="G22" s="25">
        <v>2024</v>
      </c>
    </row>
    <row r="23" spans="2:7" x14ac:dyDescent="0.25">
      <c r="B23" t="s">
        <v>137</v>
      </c>
      <c r="C23" s="28">
        <f>-(F23-G23)</f>
        <v>10904.419999999998</v>
      </c>
      <c r="D23" s="29" t="s">
        <v>29</v>
      </c>
      <c r="E23" s="29" t="s">
        <v>30</v>
      </c>
      <c r="F23" s="28">
        <v>36661.58</v>
      </c>
      <c r="G23" s="28">
        <v>47566</v>
      </c>
    </row>
    <row r="24" spans="2:7" x14ac:dyDescent="0.25">
      <c r="B24" t="s">
        <v>138</v>
      </c>
      <c r="C24" s="28">
        <f>-(F24-G24)</f>
        <v>-37523.25</v>
      </c>
      <c r="D24" s="29" t="s">
        <v>31</v>
      </c>
      <c r="E24" s="29" t="s">
        <v>30</v>
      </c>
      <c r="F24" s="28">
        <f>407047.76+131.61</f>
        <v>407179.37</v>
      </c>
      <c r="G24" s="28">
        <v>369656.12</v>
      </c>
    </row>
    <row r="25" spans="2:7" x14ac:dyDescent="0.25">
      <c r="B25" t="s">
        <v>139</v>
      </c>
      <c r="C25" s="28">
        <f>-(F25-G25)</f>
        <v>-6569.38</v>
      </c>
      <c r="D25" s="29" t="s">
        <v>32</v>
      </c>
      <c r="E25" s="29" t="s">
        <v>30</v>
      </c>
      <c r="F25" s="28">
        <v>6569.38</v>
      </c>
      <c r="G25" s="28">
        <v>0</v>
      </c>
    </row>
    <row r="26" spans="2:7" x14ac:dyDescent="0.25">
      <c r="B26" s="34" t="s">
        <v>140</v>
      </c>
      <c r="C26" s="86">
        <f>C27+C28+C29+C30+C31+C32</f>
        <v>174641.02</v>
      </c>
      <c r="D26"/>
      <c r="E26"/>
      <c r="F26" s="17"/>
      <c r="G26" s="17"/>
    </row>
    <row r="27" spans="2:7" x14ac:dyDescent="0.25">
      <c r="B27" s="29" t="s">
        <v>141</v>
      </c>
      <c r="C27" s="28">
        <f t="shared" ref="C27:C32" si="0">F27-G27</f>
        <v>-4182.1500000000233</v>
      </c>
      <c r="D27" s="29" t="s">
        <v>35</v>
      </c>
      <c r="E27" s="29" t="s">
        <v>30</v>
      </c>
      <c r="F27" s="28">
        <v>144903.82999999999</v>
      </c>
      <c r="G27" s="28">
        <v>149085.98000000001</v>
      </c>
    </row>
    <row r="28" spans="2:7" x14ac:dyDescent="0.25">
      <c r="B28" s="29" t="s">
        <v>143</v>
      </c>
      <c r="C28" s="28">
        <f t="shared" si="0"/>
        <v>8700</v>
      </c>
      <c r="D28" s="29" t="s">
        <v>142</v>
      </c>
      <c r="E28" s="29" t="s">
        <v>30</v>
      </c>
      <c r="F28" s="28">
        <v>13524.62</v>
      </c>
      <c r="G28" s="28">
        <v>4824.62</v>
      </c>
    </row>
    <row r="29" spans="2:7" x14ac:dyDescent="0.25">
      <c r="B29" s="29" t="s">
        <v>107</v>
      </c>
      <c r="C29" s="28">
        <f t="shared" si="0"/>
        <v>97249.21</v>
      </c>
      <c r="D29" s="29" t="s">
        <v>113</v>
      </c>
      <c r="E29" s="29" t="s">
        <v>30</v>
      </c>
      <c r="F29" s="28">
        <v>131834.63</v>
      </c>
      <c r="G29" s="28">
        <v>34585.42</v>
      </c>
    </row>
    <row r="30" spans="2:7" x14ac:dyDescent="0.25">
      <c r="B30" s="29" t="s">
        <v>146</v>
      </c>
      <c r="C30" s="28">
        <f t="shared" si="0"/>
        <v>1000</v>
      </c>
      <c r="D30" s="29" t="s">
        <v>36</v>
      </c>
      <c r="E30" s="29" t="s">
        <v>30</v>
      </c>
      <c r="F30" s="28">
        <v>1000</v>
      </c>
      <c r="G30" s="28">
        <v>0</v>
      </c>
    </row>
    <row r="31" spans="2:7" x14ac:dyDescent="0.25">
      <c r="B31" s="80" t="s">
        <v>144</v>
      </c>
      <c r="C31" s="28">
        <f t="shared" si="0"/>
        <v>69632.800000000003</v>
      </c>
      <c r="D31" s="29" t="s">
        <v>145</v>
      </c>
      <c r="E31" s="29" t="s">
        <v>30</v>
      </c>
      <c r="F31" s="92">
        <v>69632.800000000003</v>
      </c>
      <c r="G31" s="92">
        <v>0</v>
      </c>
    </row>
    <row r="32" spans="2:7" x14ac:dyDescent="0.25">
      <c r="B32" s="80" t="s">
        <v>139</v>
      </c>
      <c r="C32" s="28">
        <f t="shared" si="0"/>
        <v>2241.16</v>
      </c>
      <c r="D32" s="29" t="s">
        <v>38</v>
      </c>
      <c r="E32" s="29" t="s">
        <v>30</v>
      </c>
      <c r="F32" s="28">
        <v>4490.54</v>
      </c>
      <c r="G32" s="28">
        <v>2249.38</v>
      </c>
    </row>
    <row r="33" spans="2:11" x14ac:dyDescent="0.25">
      <c r="B33" s="90" t="s">
        <v>82</v>
      </c>
      <c r="C33" s="9">
        <f>C34</f>
        <v>-40766</v>
      </c>
      <c r="D33" s="24"/>
      <c r="E33" s="24"/>
      <c r="F33" s="25"/>
      <c r="G33" s="25"/>
    </row>
    <row r="34" spans="2:11" x14ac:dyDescent="0.25">
      <c r="B34" s="4" t="s">
        <v>6</v>
      </c>
      <c r="C34" s="10">
        <v>-40766</v>
      </c>
      <c r="D34" t="s">
        <v>5</v>
      </c>
      <c r="E34"/>
      <c r="F34" s="10"/>
    </row>
    <row r="35" spans="2:11" x14ac:dyDescent="0.25">
      <c r="C35" s="86">
        <f>C21+C22+C26+C33</f>
        <v>100686.81</v>
      </c>
      <c r="D35"/>
      <c r="E35"/>
      <c r="F35"/>
      <c r="G35"/>
    </row>
    <row r="36" spans="2:11" x14ac:dyDescent="0.25">
      <c r="B36" s="14" t="s">
        <v>39</v>
      </c>
      <c r="C36" s="105">
        <f>C20+C22+C26+C33</f>
        <v>602115.40999999992</v>
      </c>
      <c r="I36" s="6"/>
      <c r="J36" s="6"/>
    </row>
    <row r="37" spans="2:11" x14ac:dyDescent="0.25">
      <c r="C37" s="105"/>
      <c r="I37" s="6"/>
      <c r="J37" s="6"/>
    </row>
    <row r="38" spans="2:11" x14ac:dyDescent="0.25">
      <c r="B38" s="15" t="s">
        <v>55</v>
      </c>
      <c r="C38"/>
      <c r="D38"/>
      <c r="E38"/>
      <c r="F38"/>
      <c r="G38"/>
      <c r="I38" s="111" t="s">
        <v>193</v>
      </c>
      <c r="J38" s="112"/>
      <c r="K38" s="113"/>
    </row>
    <row r="39" spans="2:11" x14ac:dyDescent="0.25">
      <c r="B39" s="13" t="s">
        <v>49</v>
      </c>
      <c r="C39" s="13" t="s">
        <v>23</v>
      </c>
      <c r="D39" s="13" t="s">
        <v>24</v>
      </c>
      <c r="E39" s="13" t="s">
        <v>48</v>
      </c>
      <c r="F39">
        <v>2025</v>
      </c>
      <c r="G39">
        <v>2024</v>
      </c>
      <c r="I39" s="111" t="s">
        <v>151</v>
      </c>
      <c r="J39" s="112"/>
      <c r="K39" s="113"/>
    </row>
    <row r="40" spans="2:11" x14ac:dyDescent="0.25">
      <c r="B40" s="15" t="s">
        <v>123</v>
      </c>
      <c r="C40" s="16">
        <f>C41+C42</f>
        <v>639923.5</v>
      </c>
      <c r="D40" s="13"/>
      <c r="E40" s="13"/>
      <c r="F40"/>
      <c r="G40"/>
      <c r="I40" s="112" t="s">
        <v>172</v>
      </c>
      <c r="J40" s="112"/>
      <c r="K40" s="113"/>
    </row>
    <row r="41" spans="2:11" x14ac:dyDescent="0.25">
      <c r="B41" s="3" t="s">
        <v>147</v>
      </c>
      <c r="C41" s="17">
        <f>F41-G41</f>
        <v>49798</v>
      </c>
      <c r="D41" t="s">
        <v>51</v>
      </c>
      <c r="E41" t="s">
        <v>45</v>
      </c>
      <c r="F41" s="2">
        <v>49798</v>
      </c>
      <c r="G41">
        <v>0</v>
      </c>
      <c r="I41" s="112" t="s">
        <v>173</v>
      </c>
      <c r="J41" s="112">
        <v>49798</v>
      </c>
      <c r="K41" s="113">
        <f>J41+J42</f>
        <v>48133.52</v>
      </c>
    </row>
    <row r="42" spans="2:11" x14ac:dyDescent="0.25">
      <c r="B42" s="3" t="s">
        <v>148</v>
      </c>
      <c r="C42" s="17">
        <f>F42-G42</f>
        <v>590125.5</v>
      </c>
      <c r="D42" t="s">
        <v>46</v>
      </c>
      <c r="E42" t="s">
        <v>45</v>
      </c>
      <c r="F42" s="101">
        <v>2424125.5</v>
      </c>
      <c r="G42">
        <v>1834000</v>
      </c>
      <c r="I42" s="112" t="s">
        <v>174</v>
      </c>
      <c r="J42" s="112">
        <v>-1664.48</v>
      </c>
      <c r="K42" s="113"/>
    </row>
    <row r="43" spans="2:11" x14ac:dyDescent="0.25">
      <c r="B43" s="1" t="s">
        <v>82</v>
      </c>
      <c r="C43" s="19">
        <f>C44+C45+C46</f>
        <v>-196261.25</v>
      </c>
      <c r="D43"/>
      <c r="E43" t="s">
        <v>192</v>
      </c>
      <c r="F43" s="101">
        <v>638362.1</v>
      </c>
      <c r="G43">
        <v>584176.18999999994</v>
      </c>
      <c r="I43" s="112" t="s">
        <v>190</v>
      </c>
      <c r="J43" s="112">
        <f>J45+J47+J49+J51+J53</f>
        <v>408313.62</v>
      </c>
      <c r="K43" s="113">
        <f>J43+J44</f>
        <v>395528.73</v>
      </c>
    </row>
    <row r="44" spans="2:11" x14ac:dyDescent="0.25">
      <c r="B44" t="s">
        <v>149</v>
      </c>
      <c r="C44" s="2">
        <f>J44</f>
        <v>-12784.89</v>
      </c>
      <c r="D44" t="s">
        <v>152</v>
      </c>
      <c r="E44" t="s">
        <v>52</v>
      </c>
      <c r="F44" s="26"/>
      <c r="G44" s="26"/>
      <c r="I44" s="112" t="s">
        <v>191</v>
      </c>
      <c r="J44" s="112">
        <f>J46+J48+J50+J52+J54</f>
        <v>-12784.89</v>
      </c>
      <c r="K44" s="113"/>
    </row>
    <row r="45" spans="2:11" x14ac:dyDescent="0.25">
      <c r="B45" t="s">
        <v>150</v>
      </c>
      <c r="C45" s="26">
        <v>-1664.48</v>
      </c>
      <c r="D45" t="s">
        <v>43</v>
      </c>
      <c r="E45"/>
      <c r="F45" s="17"/>
      <c r="G45"/>
      <c r="I45" s="112" t="s">
        <v>177</v>
      </c>
      <c r="J45" s="112">
        <v>150000</v>
      </c>
      <c r="K45" s="113"/>
    </row>
    <row r="46" spans="2:11" x14ac:dyDescent="0.25">
      <c r="B46" t="s">
        <v>61</v>
      </c>
      <c r="C46" s="2">
        <v>-181811.88</v>
      </c>
      <c r="D46" t="s">
        <v>65</v>
      </c>
      <c r="E46"/>
      <c r="F46" s="17"/>
      <c r="G46" s="108"/>
      <c r="I46" s="112" t="s">
        <v>174</v>
      </c>
      <c r="J46" s="112">
        <v>-10027.4</v>
      </c>
      <c r="K46" s="113"/>
    </row>
    <row r="47" spans="2:11" x14ac:dyDescent="0.25">
      <c r="B47" s="1" t="s">
        <v>151</v>
      </c>
      <c r="C47" s="19">
        <f>C40+C43</f>
        <v>443662.25</v>
      </c>
      <c r="D47"/>
      <c r="E47"/>
      <c r="F47" s="17"/>
      <c r="G47"/>
      <c r="H47" s="107"/>
      <c r="I47" s="112" t="s">
        <v>178</v>
      </c>
      <c r="J47" s="112">
        <v>2800</v>
      </c>
      <c r="K47" s="113"/>
    </row>
    <row r="48" spans="2:11" x14ac:dyDescent="0.25">
      <c r="B48"/>
      <c r="C48" s="107"/>
      <c r="D48"/>
      <c r="E48"/>
      <c r="F48"/>
      <c r="G48"/>
      <c r="I48" s="112" t="s">
        <v>174</v>
      </c>
      <c r="J48" s="112">
        <v>-47.56</v>
      </c>
      <c r="K48" s="113"/>
    </row>
    <row r="49" spans="2:11" x14ac:dyDescent="0.25">
      <c r="B49"/>
      <c r="C49" s="86" t="str">
        <f>C39</f>
        <v>Bedrag (€)</v>
      </c>
      <c r="D49"/>
      <c r="E49"/>
      <c r="F49"/>
      <c r="G49"/>
      <c r="I49" s="112" t="s">
        <v>179</v>
      </c>
      <c r="J49" s="112">
        <f>165000+1750+100</f>
        <v>166850</v>
      </c>
      <c r="K49" s="113"/>
    </row>
    <row r="50" spans="2:11" x14ac:dyDescent="0.25">
      <c r="B50" s="14" t="s">
        <v>39</v>
      </c>
      <c r="C50" s="19">
        <f>C36</f>
        <v>602115.40999999992</v>
      </c>
      <c r="D50" s="17"/>
      <c r="E50"/>
      <c r="F50" s="2"/>
      <c r="G50"/>
      <c r="H50" s="17"/>
      <c r="I50" s="112" t="s">
        <v>180</v>
      </c>
      <c r="J50" s="112">
        <f>-2001.96-21.23-1.21</f>
        <v>-2024.4</v>
      </c>
      <c r="K50" s="113"/>
    </row>
    <row r="51" spans="2:11" x14ac:dyDescent="0.25">
      <c r="B51" s="1" t="s">
        <v>151</v>
      </c>
      <c r="C51" s="19">
        <f>C47</f>
        <v>443662.25</v>
      </c>
      <c r="D51"/>
      <c r="E51"/>
      <c r="F51"/>
      <c r="G51"/>
      <c r="I51" s="112" t="s">
        <v>185</v>
      </c>
      <c r="J51" s="112">
        <v>68035.12</v>
      </c>
      <c r="K51" s="113"/>
    </row>
    <row r="52" spans="2:11" x14ac:dyDescent="0.25">
      <c r="B52" s="1" t="s">
        <v>59</v>
      </c>
      <c r="C52" s="19">
        <f>C50-C51</f>
        <v>158453.15999999992</v>
      </c>
      <c r="D52" s="19"/>
      <c r="E52"/>
      <c r="F52"/>
      <c r="G52"/>
      <c r="H52" s="107"/>
      <c r="I52" s="112" t="s">
        <v>174</v>
      </c>
      <c r="J52" s="112">
        <v>-633.75</v>
      </c>
      <c r="K52" s="113"/>
    </row>
    <row r="53" spans="2:11" x14ac:dyDescent="0.25">
      <c r="B53" s="99" t="s">
        <v>161</v>
      </c>
      <c r="C53" s="99">
        <v>158069.96</v>
      </c>
      <c r="G53" s="105"/>
      <c r="H53" s="107"/>
      <c r="I53" s="112" t="s">
        <v>186</v>
      </c>
      <c r="J53" s="112">
        <v>20628.5</v>
      </c>
      <c r="K53" s="113"/>
    </row>
    <row r="54" spans="2:11" x14ac:dyDescent="0.25">
      <c r="C54" s="107"/>
      <c r="H54" s="17"/>
      <c r="I54" s="112" t="s">
        <v>174</v>
      </c>
      <c r="J54" s="112">
        <v>-51.78</v>
      </c>
      <c r="K54" s="113"/>
    </row>
    <row r="55" spans="2:11" x14ac:dyDescent="0.25">
      <c r="I55" s="111" t="s">
        <v>181</v>
      </c>
      <c r="J55" s="111">
        <f>J41+J42+J43+J44</f>
        <v>443662.25</v>
      </c>
      <c r="K55" s="113">
        <f>SUM(K41:K54)</f>
        <v>443662.25</v>
      </c>
    </row>
    <row r="56" spans="2:11" x14ac:dyDescent="0.25">
      <c r="B56" s="58" t="s">
        <v>132</v>
      </c>
      <c r="C56" s="60">
        <f>C57+C61</f>
        <v>-9306.3699999999953</v>
      </c>
      <c r="D56"/>
      <c r="E56"/>
      <c r="F56"/>
      <c r="I56" s="111" t="s">
        <v>151</v>
      </c>
      <c r="J56" s="111">
        <f>J55</f>
        <v>443662.25</v>
      </c>
      <c r="K56" s="113"/>
    </row>
    <row r="57" spans="2:11" x14ac:dyDescent="0.25">
      <c r="B57" s="1" t="s">
        <v>28</v>
      </c>
      <c r="C57" s="19">
        <f>C58+C59+C60</f>
        <v>302199.34000000003</v>
      </c>
      <c r="D57"/>
      <c r="E57" s="2">
        <v>645456.80000000005</v>
      </c>
      <c r="F57" s="2">
        <v>324487.98</v>
      </c>
    </row>
    <row r="58" spans="2:11" x14ac:dyDescent="0.25">
      <c r="B58" s="3" t="s">
        <v>61</v>
      </c>
      <c r="C58" s="17">
        <f t="shared" ref="C58:C59" si="1">E58-F58</f>
        <v>180673.33</v>
      </c>
      <c r="D58" s="3" t="s">
        <v>65</v>
      </c>
      <c r="E58">
        <v>180673.33</v>
      </c>
      <c r="F58">
        <v>0</v>
      </c>
    </row>
    <row r="59" spans="2:11" x14ac:dyDescent="0.25">
      <c r="B59" s="3" t="s">
        <v>66</v>
      </c>
      <c r="C59" s="17">
        <f t="shared" si="1"/>
        <v>201603.73</v>
      </c>
      <c r="D59" s="3" t="s">
        <v>67</v>
      </c>
      <c r="E59">
        <v>201603.73</v>
      </c>
      <c r="F59"/>
    </row>
    <row r="60" spans="2:11" x14ac:dyDescent="0.25">
      <c r="B60" s="3" t="s">
        <v>68</v>
      </c>
      <c r="C60" s="17">
        <f>E60-F60</f>
        <v>-80077.719999999972</v>
      </c>
      <c r="D60" s="3" t="s">
        <v>69</v>
      </c>
      <c r="E60" s="2">
        <v>194410.26</v>
      </c>
      <c r="F60" s="2">
        <v>274487.98</v>
      </c>
    </row>
    <row r="61" spans="2:11" x14ac:dyDescent="0.25">
      <c r="B61" s="58" t="s">
        <v>82</v>
      </c>
      <c r="C61" s="19">
        <f>C62+C63+C64+C65</f>
        <v>-311505.71000000002</v>
      </c>
      <c r="D61"/>
      <c r="E61"/>
      <c r="F61"/>
    </row>
    <row r="62" spans="2:11" x14ac:dyDescent="0.25">
      <c r="B62" s="52" t="s">
        <v>72</v>
      </c>
      <c r="C62" s="53">
        <v>-154428.79</v>
      </c>
      <c r="D62" s="3" t="s">
        <v>120</v>
      </c>
      <c r="E62" s="2"/>
      <c r="F62"/>
    </row>
    <row r="63" spans="2:11" x14ac:dyDescent="0.25">
      <c r="B63" s="3" t="s">
        <v>126</v>
      </c>
      <c r="C63" s="17">
        <f>-C58</f>
        <v>-180673.33</v>
      </c>
      <c r="D63" s="3" t="s">
        <v>65</v>
      </c>
      <c r="E63" s="2"/>
      <c r="F63"/>
    </row>
    <row r="64" spans="2:11" x14ac:dyDescent="0.25">
      <c r="B64" s="109" t="s">
        <v>127</v>
      </c>
      <c r="C64" s="110">
        <v>-46036.39</v>
      </c>
      <c r="D64" s="41" t="s">
        <v>121</v>
      </c>
      <c r="E64" s="2"/>
      <c r="F64"/>
    </row>
    <row r="65" spans="2:6" x14ac:dyDescent="0.25">
      <c r="B65" s="3" t="s">
        <v>128</v>
      </c>
      <c r="C65" s="54">
        <v>69632.800000000003</v>
      </c>
      <c r="D65" s="3" t="s">
        <v>64</v>
      </c>
      <c r="E65" s="91" t="s">
        <v>155</v>
      </c>
      <c r="F65"/>
    </row>
    <row r="66" spans="2:6" x14ac:dyDescent="0.25">
      <c r="B66" s="58" t="s">
        <v>133</v>
      </c>
      <c r="C66" s="51">
        <f>C68+C70</f>
        <v>19000</v>
      </c>
      <c r="D66" s="3"/>
      <c r="E66" s="2"/>
      <c r="F66"/>
    </row>
    <row r="67" spans="2:6" x14ac:dyDescent="0.25">
      <c r="B67" s="57" t="s">
        <v>28</v>
      </c>
      <c r="C67" s="54"/>
      <c r="D67" s="3"/>
      <c r="E67" s="2"/>
      <c r="F67"/>
    </row>
    <row r="68" spans="2:6" x14ac:dyDescent="0.25">
      <c r="B68" s="3" t="s">
        <v>71</v>
      </c>
      <c r="C68" s="17">
        <f>E68-F61</f>
        <v>18769.48</v>
      </c>
      <c r="D68" s="3" t="s">
        <v>70</v>
      </c>
      <c r="E68" s="2">
        <v>18769.48</v>
      </c>
      <c r="F68"/>
    </row>
    <row r="69" spans="2:6" x14ac:dyDescent="0.25">
      <c r="B69" s="3" t="s">
        <v>82</v>
      </c>
      <c r="C69" s="17"/>
      <c r="D69" s="3"/>
      <c r="E69" s="2"/>
      <c r="F69"/>
    </row>
    <row r="70" spans="2:6" x14ac:dyDescent="0.25">
      <c r="B70" s="3" t="s">
        <v>194</v>
      </c>
      <c r="C70" s="17">
        <v>230.52</v>
      </c>
      <c r="D70" s="3"/>
      <c r="E70" s="2"/>
      <c r="F70"/>
    </row>
    <row r="71" spans="2:6" x14ac:dyDescent="0.25">
      <c r="B71" s="50" t="s">
        <v>134</v>
      </c>
      <c r="C71" s="19">
        <f>C73+C75+C76</f>
        <v>0</v>
      </c>
      <c r="D71" s="3"/>
      <c r="E71" s="2"/>
      <c r="F71"/>
    </row>
    <row r="72" spans="2:6" x14ac:dyDescent="0.25">
      <c r="B72" s="57" t="s">
        <v>28</v>
      </c>
      <c r="C72"/>
      <c r="D72"/>
      <c r="E72"/>
      <c r="F72"/>
    </row>
    <row r="73" spans="2:6" x14ac:dyDescent="0.25">
      <c r="B73" s="59" t="s">
        <v>122</v>
      </c>
      <c r="C73" s="54">
        <f>E73-F73</f>
        <v>27959.539999999997</v>
      </c>
      <c r="D73" s="3" t="s">
        <v>79</v>
      </c>
      <c r="E73" s="2">
        <v>36886.519999999997</v>
      </c>
      <c r="F73" s="2">
        <v>8926.98</v>
      </c>
    </row>
    <row r="74" spans="2:6" x14ac:dyDescent="0.25">
      <c r="B74" s="57" t="s">
        <v>82</v>
      </c>
      <c r="C74" s="54"/>
      <c r="D74" s="3"/>
      <c r="E74"/>
      <c r="F74"/>
    </row>
    <row r="75" spans="2:6" x14ac:dyDescent="0.25">
      <c r="B75" s="59" t="s">
        <v>83</v>
      </c>
      <c r="C75" s="54">
        <v>-12614.08</v>
      </c>
      <c r="D75" s="3" t="s">
        <v>81</v>
      </c>
      <c r="E75"/>
      <c r="F75"/>
    </row>
    <row r="76" spans="2:6" x14ac:dyDescent="0.25">
      <c r="B76" s="59" t="s">
        <v>125</v>
      </c>
      <c r="C76" s="54">
        <v>-15345.46</v>
      </c>
      <c r="D76" s="3" t="s">
        <v>124</v>
      </c>
      <c r="E76"/>
      <c r="F76"/>
    </row>
    <row r="77" spans="2:6" x14ac:dyDescent="0.25">
      <c r="B77" s="50" t="s">
        <v>135</v>
      </c>
      <c r="C77" s="51">
        <f>C79+C80+C82</f>
        <v>2056.9899999999034</v>
      </c>
      <c r="D77" s="3"/>
      <c r="E77"/>
      <c r="F77"/>
    </row>
    <row r="78" spans="2:6" x14ac:dyDescent="0.25">
      <c r="B78" s="52" t="s">
        <v>123</v>
      </c>
      <c r="C78" s="54"/>
      <c r="D78" s="3"/>
      <c r="E78"/>
      <c r="F78"/>
    </row>
    <row r="79" spans="2:6" x14ac:dyDescent="0.25">
      <c r="B79" t="s">
        <v>129</v>
      </c>
      <c r="C79" s="54">
        <f>E79-F79</f>
        <v>31053.779999999912</v>
      </c>
      <c r="D79" s="3" t="s">
        <v>86</v>
      </c>
      <c r="E79" s="2">
        <v>1042282.95</v>
      </c>
      <c r="F79" s="2">
        <v>1011229.17</v>
      </c>
    </row>
    <row r="80" spans="2:6" x14ac:dyDescent="0.25">
      <c r="B80" t="s">
        <v>130</v>
      </c>
      <c r="C80" s="54">
        <f>(E80-F80)</f>
        <v>35708.119999999995</v>
      </c>
      <c r="D80" s="3" t="s">
        <v>34</v>
      </c>
      <c r="E80" s="2">
        <v>172029.55</v>
      </c>
      <c r="F80" s="2">
        <v>136321.43</v>
      </c>
    </row>
    <row r="81" spans="2:9" x14ac:dyDescent="0.25">
      <c r="B81" t="s">
        <v>82</v>
      </c>
      <c r="C81"/>
      <c r="D81"/>
      <c r="E81"/>
      <c r="F81"/>
    </row>
    <row r="82" spans="2:9" x14ac:dyDescent="0.25">
      <c r="B82" t="s">
        <v>131</v>
      </c>
      <c r="C82" s="10">
        <v>-64704.91</v>
      </c>
      <c r="D82" t="s">
        <v>58</v>
      </c>
      <c r="E82"/>
      <c r="F82"/>
    </row>
    <row r="83" spans="2:9" x14ac:dyDescent="0.25">
      <c r="B83" s="50" t="s">
        <v>136</v>
      </c>
      <c r="C83" s="51">
        <f>C56+C66+C71+C77</f>
        <v>11750.619999999908</v>
      </c>
      <c r="D83" s="3"/>
      <c r="E83"/>
      <c r="F83"/>
    </row>
    <row r="84" spans="2:9" x14ac:dyDescent="0.25">
      <c r="B84"/>
      <c r="C84" s="17"/>
      <c r="D84"/>
      <c r="E84"/>
      <c r="F84"/>
    </row>
    <row r="85" spans="2:9" x14ac:dyDescent="0.25">
      <c r="B85"/>
      <c r="C85" s="107"/>
      <c r="D85"/>
      <c r="E85"/>
      <c r="F85" s="17"/>
      <c r="I85" s="101">
        <f>15345.46-4646.6</f>
        <v>10698.859999999999</v>
      </c>
    </row>
    <row r="86" spans="2:9" x14ac:dyDescent="0.25">
      <c r="B86" s="15" t="s">
        <v>22</v>
      </c>
      <c r="C86" s="15" t="s">
        <v>23</v>
      </c>
      <c r="D86"/>
      <c r="E86"/>
      <c r="I86" s="107"/>
    </row>
    <row r="87" spans="2:9" x14ac:dyDescent="0.25">
      <c r="B87" t="s">
        <v>99</v>
      </c>
      <c r="C87" s="17">
        <f>C52</f>
        <v>158453.15999999992</v>
      </c>
      <c r="D87"/>
      <c r="E87"/>
      <c r="I87" s="107"/>
    </row>
    <row r="88" spans="2:9" x14ac:dyDescent="0.25">
      <c r="B88" t="s">
        <v>100</v>
      </c>
      <c r="C88" s="17">
        <f>C83</f>
        <v>11750.619999999908</v>
      </c>
      <c r="D88"/>
      <c r="E88"/>
    </row>
    <row r="89" spans="2:9" x14ac:dyDescent="0.25">
      <c r="B89" s="15" t="s">
        <v>101</v>
      </c>
      <c r="C89" s="19">
        <f>C87-C88</f>
        <v>146702.54</v>
      </c>
      <c r="D89">
        <v>2025</v>
      </c>
      <c r="E89">
        <v>2024</v>
      </c>
    </row>
    <row r="90" spans="2:9" x14ac:dyDescent="0.25">
      <c r="B90" t="s">
        <v>161</v>
      </c>
      <c r="C90" s="37">
        <f>D90-E90</f>
        <v>158069.96</v>
      </c>
      <c r="D90" s="2">
        <v>162734.99</v>
      </c>
      <c r="E90" s="2">
        <v>4665.03</v>
      </c>
    </row>
    <row r="91" spans="2:9" x14ac:dyDescent="0.25">
      <c r="B91" s="93" t="s">
        <v>116</v>
      </c>
      <c r="C91" s="94">
        <f>C89-C90</f>
        <v>-11367.419999999984</v>
      </c>
      <c r="D91"/>
      <c r="E91"/>
    </row>
    <row r="92" spans="2:9" x14ac:dyDescent="0.25">
      <c r="C92" s="107"/>
    </row>
    <row r="93" spans="2:9" x14ac:dyDescent="0.25">
      <c r="C93" s="107"/>
    </row>
    <row r="94" spans="2:9" x14ac:dyDescent="0.25">
      <c r="C94" s="107"/>
    </row>
    <row r="95" spans="2:9" x14ac:dyDescent="0.25">
      <c r="C95" s="10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13</vt:i4>
      </vt:variant>
    </vt:vector>
  </HeadingPairs>
  <TitlesOfParts>
    <vt:vector size="13" baseType="lpstr">
      <vt:lpstr>Pot</vt:lpstr>
      <vt:lpstr>Op</vt:lpstr>
      <vt:lpstr>invest</vt:lpstr>
      <vt:lpstr>Vrije</vt:lpstr>
      <vt:lpstr>Fin</vt:lpstr>
      <vt:lpstr>KSS</vt:lpstr>
      <vt:lpstr>KSS_full</vt:lpstr>
      <vt:lpstr>KSS_FF</vt:lpstr>
      <vt:lpstr>KSS_FF (2)</vt:lpstr>
      <vt:lpstr>KSS_FF (3)</vt:lpstr>
      <vt:lpstr>KSS_full (2)</vt:lpstr>
      <vt:lpstr>Actie</vt:lpstr>
      <vt:lpstr>Actie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ZARZOSA</dc:creator>
  <cp:lastModifiedBy>FERNANDO ZARZOSA</cp:lastModifiedBy>
  <dcterms:created xsi:type="dcterms:W3CDTF">2026-05-29T19:36:52Z</dcterms:created>
  <dcterms:modified xsi:type="dcterms:W3CDTF">2026-06-10T10:22:07Z</dcterms:modified>
</cp:coreProperties>
</file>