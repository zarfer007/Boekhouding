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zarzo\Desktop\Eindwerk\Uitgewerkte bijlagen\"/>
    </mc:Choice>
  </mc:AlternateContent>
  <xr:revisionPtr revIDLastSave="0" documentId="13_ncr:1_{A5A8D182-B507-4C98-8D55-EA1334EB3100}" xr6:coauthVersionLast="47" xr6:coauthVersionMax="47" xr10:uidLastSave="{00000000-0000-0000-0000-000000000000}"/>
  <bookViews>
    <workbookView xWindow="67080" yWindow="-120" windowWidth="29040" windowHeight="15720" activeTab="10" xr2:uid="{00000000-000D-0000-FFFF-FFFF00000000}"/>
  </bookViews>
  <sheets>
    <sheet name="ACTIVA" sheetId="2" r:id="rId1"/>
    <sheet name="ACTIVA analyse" sheetId="11" state="hidden" r:id="rId2"/>
    <sheet name="PASSIVA" sheetId="3" r:id="rId3"/>
    <sheet name="PASSIVA analyse" sheetId="12" state="hidden" r:id="rId4"/>
    <sheet name="RESULTAAT" sheetId="5" r:id="rId5"/>
    <sheet name="RESULTAAT analyse" sheetId="13" state="hidden" r:id="rId6"/>
    <sheet name="INVEST TABEL" sheetId="10" r:id="rId7"/>
    <sheet name="FIN ANALYSE" sheetId="4" r:id="rId8"/>
    <sheet name="CASH FLOW MAAND" sheetId="8" state="hidden" r:id="rId9"/>
    <sheet name="DETAILS" sheetId="6" r:id="rId10"/>
    <sheet name="OPGAVE" sheetId="15" r:id="rId11"/>
    <sheet name="70-40-44-55" sheetId="18" r:id="rId12"/>
    <sheet name="Aflossingstabel" sheetId="17" r:id="rId13"/>
    <sheet name="OMZET en BREAK EVEN" sheetId="7" state="hidden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7" l="1"/>
  <c r="F134" i="17"/>
  <c r="E134" i="17"/>
  <c r="J5" i="17"/>
  <c r="J4" i="17"/>
  <c r="J3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76" i="17"/>
  <c r="D77" i="17"/>
  <c r="D78" i="17"/>
  <c r="D79" i="17"/>
  <c r="D80" i="17"/>
  <c r="D81" i="17"/>
  <c r="D74" i="17"/>
  <c r="D75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118" i="17"/>
  <c r="B119" i="17"/>
  <c r="B120" i="17"/>
  <c r="B121" i="17"/>
  <c r="B122" i="17"/>
  <c r="B123" i="17"/>
  <c r="B124" i="17"/>
  <c r="B125" i="17"/>
  <c r="B126" i="17"/>
  <c r="B127" i="17"/>
  <c r="B128" i="17"/>
  <c r="B129" i="17"/>
  <c r="B130" i="17"/>
  <c r="B131" i="17"/>
  <c r="B132" i="17"/>
  <c r="B133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14" i="17"/>
  <c r="G134" i="4"/>
  <c r="H134" i="4"/>
  <c r="J134" i="4"/>
  <c r="K134" i="4"/>
  <c r="M134" i="4"/>
  <c r="N134" i="4"/>
  <c r="B76" i="4"/>
  <c r="B13" i="5"/>
  <c r="D70" i="18"/>
  <c r="D69" i="18"/>
  <c r="D68" i="18"/>
  <c r="D61" i="18"/>
  <c r="D60" i="18"/>
  <c r="D59" i="18"/>
  <c r="D88" i="4"/>
  <c r="C88" i="4"/>
  <c r="B88" i="4"/>
  <c r="C87" i="4"/>
  <c r="D87" i="4"/>
  <c r="B87" i="4"/>
  <c r="C86" i="4"/>
  <c r="D86" i="4"/>
  <c r="B86" i="4"/>
  <c r="B84" i="4"/>
  <c r="B83" i="4"/>
  <c r="D51" i="18"/>
  <c r="D50" i="18"/>
  <c r="D49" i="18"/>
  <c r="D47" i="18"/>
  <c r="D46" i="18"/>
  <c r="C43" i="18"/>
  <c r="D34" i="5"/>
  <c r="C34" i="5"/>
  <c r="B34" i="5"/>
  <c r="B93" i="6"/>
  <c r="B92" i="6"/>
  <c r="B91" i="6"/>
  <c r="G33" i="10"/>
  <c r="D29" i="5"/>
  <c r="H27" i="18"/>
  <c r="H28" i="18" s="1"/>
  <c r="D27" i="18"/>
  <c r="D28" i="18" s="1"/>
  <c r="L25" i="18"/>
  <c r="B21" i="5" s="1"/>
  <c r="B9" i="5"/>
  <c r="G12" i="18"/>
  <c r="C11" i="18"/>
  <c r="C12" i="18" s="1"/>
  <c r="B35" i="2" s="1"/>
  <c r="C3" i="18"/>
  <c r="L26" i="18" s="1"/>
  <c r="G11" i="18"/>
  <c r="C21" i="5" l="1"/>
  <c r="M25" i="18"/>
  <c r="B46" i="3"/>
  <c r="D48" i="18"/>
  <c r="B85" i="4"/>
  <c r="C9" i="5"/>
  <c r="G16" i="18"/>
  <c r="D30" i="18"/>
  <c r="D31" i="18" s="1"/>
  <c r="C14" i="18"/>
  <c r="C15" i="18" s="1"/>
  <c r="G15" i="18"/>
  <c r="H30" i="18"/>
  <c r="C29" i="18"/>
  <c r="C4" i="18"/>
  <c r="G13" i="18"/>
  <c r="G14" i="18"/>
  <c r="D13" i="18"/>
  <c r="D15" i="18" s="1"/>
  <c r="B74" i="4" l="1"/>
  <c r="C44" i="18"/>
  <c r="C53" i="18" s="1"/>
  <c r="L11" i="18"/>
  <c r="L27" i="18"/>
  <c r="G20" i="18"/>
  <c r="D9" i="5"/>
  <c r="D34" i="18"/>
  <c r="G19" i="18"/>
  <c r="C18" i="18"/>
  <c r="H33" i="18"/>
  <c r="M27" i="18" s="1"/>
  <c r="C31" i="18"/>
  <c r="D32" i="18" s="1"/>
  <c r="H29" i="18"/>
  <c r="C57" i="18"/>
  <c r="G17" i="18"/>
  <c r="C16" i="18"/>
  <c r="L13" i="18" l="1"/>
  <c r="H31" i="18"/>
  <c r="C85" i="4" s="1"/>
  <c r="D58" i="18"/>
  <c r="D35" i="18"/>
  <c r="C33" i="18"/>
  <c r="C35" i="18" s="1"/>
  <c r="H32" i="18"/>
  <c r="D67" i="18" s="1"/>
  <c r="D46" i="3"/>
  <c r="M26" i="18"/>
  <c r="C74" i="4"/>
  <c r="H34" i="18"/>
  <c r="D85" i="4" s="1"/>
  <c r="D21" i="5"/>
  <c r="L28" i="18"/>
  <c r="D17" i="18"/>
  <c r="D35" i="2"/>
  <c r="L12" i="18"/>
  <c r="L14" i="18" s="1"/>
  <c r="C19" i="18"/>
  <c r="B87" i="6"/>
  <c r="B9" i="17"/>
  <c r="B8" i="17"/>
  <c r="A71" i="17" s="1"/>
  <c r="C18" i="10"/>
  <c r="C17" i="10"/>
  <c r="C12" i="10"/>
  <c r="B9" i="3"/>
  <c r="C69" i="6"/>
  <c r="C70" i="6" s="1"/>
  <c r="C71" i="6" s="1"/>
  <c r="B70" i="6"/>
  <c r="B71" i="6" s="1"/>
  <c r="D19" i="18" l="1"/>
  <c r="C20" i="18" s="1"/>
  <c r="F35" i="2" s="1"/>
  <c r="G18" i="18"/>
  <c r="D36" i="18"/>
  <c r="F46" i="3" s="1"/>
  <c r="B80" i="6"/>
  <c r="B83" i="6" s="1"/>
  <c r="A73" i="17"/>
  <c r="B73" i="17" s="1"/>
  <c r="A21" i="17"/>
  <c r="B21" i="17" s="1"/>
  <c r="A26" i="17"/>
  <c r="B26" i="17" s="1"/>
  <c r="A28" i="17"/>
  <c r="B28" i="17" s="1"/>
  <c r="A30" i="17"/>
  <c r="B30" i="17" s="1"/>
  <c r="A35" i="17"/>
  <c r="B35" i="17" s="1"/>
  <c r="A37" i="17"/>
  <c r="B37" i="17" s="1"/>
  <c r="A42" i="17"/>
  <c r="B42" i="17" s="1"/>
  <c r="A44" i="17"/>
  <c r="B44" i="17" s="1"/>
  <c r="A46" i="17"/>
  <c r="B46" i="17" s="1"/>
  <c r="A51" i="17"/>
  <c r="A53" i="17"/>
  <c r="B53" i="17" s="1"/>
  <c r="A62" i="17"/>
  <c r="B62" i="17" s="1"/>
  <c r="A58" i="17"/>
  <c r="B58" i="17" s="1"/>
  <c r="A67" i="17"/>
  <c r="B67" i="17" s="1"/>
  <c r="B10" i="17"/>
  <c r="A60" i="17"/>
  <c r="B60" i="17" s="1"/>
  <c r="A14" i="17"/>
  <c r="B14" i="17" s="1"/>
  <c r="A17" i="17"/>
  <c r="B17" i="17" s="1"/>
  <c r="A19" i="17"/>
  <c r="B19" i="17" s="1"/>
  <c r="A69" i="17"/>
  <c r="B69" i="17" s="1"/>
  <c r="B71" i="17"/>
  <c r="A33" i="17"/>
  <c r="A65" i="17"/>
  <c r="A24" i="17"/>
  <c r="A40" i="17"/>
  <c r="A56" i="17"/>
  <c r="A72" i="17"/>
  <c r="A31" i="17"/>
  <c r="A61" i="17"/>
  <c r="A20" i="17"/>
  <c r="A36" i="17"/>
  <c r="A52" i="17"/>
  <c r="A68" i="17"/>
  <c r="A47" i="17"/>
  <c r="A54" i="17"/>
  <c r="A29" i="17"/>
  <c r="A27" i="17"/>
  <c r="A43" i="17"/>
  <c r="A59" i="17"/>
  <c r="A63" i="17"/>
  <c r="A22" i="17"/>
  <c r="A70" i="17"/>
  <c r="A45" i="17"/>
  <c r="A18" i="17"/>
  <c r="A66" i="17"/>
  <c r="A25" i="17"/>
  <c r="A41" i="17"/>
  <c r="A57" i="17"/>
  <c r="A49" i="17"/>
  <c r="A15" i="17"/>
  <c r="A38" i="17"/>
  <c r="A13" i="17"/>
  <c r="A34" i="17"/>
  <c r="A50" i="17"/>
  <c r="A16" i="17"/>
  <c r="A32" i="17"/>
  <c r="A48" i="17"/>
  <c r="A64" i="17"/>
  <c r="A23" i="17"/>
  <c r="A39" i="17"/>
  <c r="A55" i="17"/>
  <c r="D69" i="6"/>
  <c r="D70" i="6" s="1"/>
  <c r="D71" i="6" s="1"/>
  <c r="C66" i="18" l="1"/>
  <c r="G21" i="18"/>
  <c r="M28" i="18"/>
  <c r="B51" i="17"/>
  <c r="B31" i="17"/>
  <c r="B55" i="17"/>
  <c r="B65" i="17"/>
  <c r="B56" i="17"/>
  <c r="B66" i="17"/>
  <c r="B18" i="17"/>
  <c r="B16" i="17"/>
  <c r="B45" i="17"/>
  <c r="B68" i="17"/>
  <c r="B52" i="17"/>
  <c r="B61" i="17"/>
  <c r="B39" i="17"/>
  <c r="B25" i="17"/>
  <c r="B32" i="17"/>
  <c r="B22" i="17"/>
  <c r="B40" i="17"/>
  <c r="B24" i="17"/>
  <c r="B29" i="17"/>
  <c r="B41" i="17"/>
  <c r="B64" i="17"/>
  <c r="B48" i="17"/>
  <c r="J16" i="17"/>
  <c r="B47" i="17"/>
  <c r="B34" i="17"/>
  <c r="B59" i="17"/>
  <c r="B23" i="17"/>
  <c r="B33" i="17"/>
  <c r="B50" i="17"/>
  <c r="B63" i="17"/>
  <c r="B49" i="17"/>
  <c r="B43" i="17"/>
  <c r="B57" i="17"/>
  <c r="B36" i="17"/>
  <c r="B54" i="17"/>
  <c r="B20" i="17"/>
  <c r="B70" i="17"/>
  <c r="C14" i="17"/>
  <c r="E14" i="17" s="1"/>
  <c r="B13" i="17"/>
  <c r="B38" i="17"/>
  <c r="B15" i="17"/>
  <c r="B27" i="17"/>
  <c r="B72" i="17"/>
  <c r="L15" i="18" l="1"/>
  <c r="D74" i="4"/>
  <c r="J15" i="17"/>
  <c r="D71" i="18" s="1"/>
  <c r="J13" i="17"/>
  <c r="D52" i="18" s="1"/>
  <c r="D53" i="18" s="1"/>
  <c r="C54" i="18" s="1"/>
  <c r="J14" i="17"/>
  <c r="D62" i="18" s="1"/>
  <c r="B95" i="4" l="1"/>
  <c r="C64" i="18"/>
  <c r="B52" i="6"/>
  <c r="B50" i="6"/>
  <c r="B39" i="6"/>
  <c r="C38" i="6"/>
  <c r="D38" i="6"/>
  <c r="D35" i="6" s="1"/>
  <c r="B38" i="6"/>
  <c r="C22" i="6"/>
  <c r="D22" i="6" s="1"/>
  <c r="C21" i="6"/>
  <c r="D21" i="6" s="1"/>
  <c r="C25" i="6"/>
  <c r="D25" i="6" s="1"/>
  <c r="C24" i="6"/>
  <c r="D24" i="6" s="1"/>
  <c r="C20" i="6"/>
  <c r="D20" i="6" s="1"/>
  <c r="C19" i="6"/>
  <c r="D19" i="6" s="1"/>
  <c r="C18" i="6"/>
  <c r="D18" i="6" s="1"/>
  <c r="B9" i="6"/>
  <c r="C9" i="6" s="1"/>
  <c r="D9" i="6" s="1"/>
  <c r="B8" i="6"/>
  <c r="C8" i="6" s="1"/>
  <c r="D8" i="6" s="1"/>
  <c r="C14" i="6"/>
  <c r="D14" i="6" s="1"/>
  <c r="C13" i="6"/>
  <c r="D13" i="6" s="1"/>
  <c r="C10" i="6"/>
  <c r="D10" i="6" s="1"/>
  <c r="D43" i="6"/>
  <c r="B12" i="6"/>
  <c r="C12" i="6" s="1"/>
  <c r="D12" i="6" s="1"/>
  <c r="D9" i="3"/>
  <c r="F9" i="3" s="1"/>
  <c r="D16" i="6" l="1"/>
  <c r="A53" i="8" l="1"/>
  <c r="N41" i="8"/>
  <c r="A27" i="8"/>
  <c r="A58" i="8" s="1"/>
  <c r="A26" i="8"/>
  <c r="A57" i="8" s="1"/>
  <c r="A25" i="8"/>
  <c r="A56" i="8" s="1"/>
  <c r="A24" i="8"/>
  <c r="A55" i="8" s="1"/>
  <c r="A23" i="8"/>
  <c r="A54" i="8" s="1"/>
  <c r="A21" i="8"/>
  <c r="A52" i="8" s="1"/>
  <c r="A20" i="8"/>
  <c r="A51" i="8" s="1"/>
  <c r="A19" i="8"/>
  <c r="A50" i="8" s="1"/>
  <c r="A18" i="8"/>
  <c r="A49" i="8" s="1"/>
  <c r="A17" i="8"/>
  <c r="A48" i="8" s="1"/>
  <c r="A12" i="8"/>
  <c r="A42" i="8" s="1"/>
  <c r="A11" i="8"/>
  <c r="A41" i="8" s="1"/>
  <c r="A10" i="8"/>
  <c r="A40" i="8" s="1"/>
  <c r="A9" i="8"/>
  <c r="A39" i="8" s="1"/>
  <c r="A8" i="8"/>
  <c r="A7" i="8"/>
  <c r="H29" i="10"/>
  <c r="H24" i="10"/>
  <c r="H20" i="10"/>
  <c r="H7" i="10"/>
  <c r="I14" i="10"/>
  <c r="H13" i="10"/>
  <c r="I13" i="10" s="1"/>
  <c r="A57" i="12"/>
  <c r="A55" i="12"/>
  <c r="A54" i="12"/>
  <c r="A51" i="12"/>
  <c r="A52" i="12"/>
  <c r="A50" i="12"/>
  <c r="A49" i="12"/>
  <c r="A47" i="12"/>
  <c r="A46" i="12"/>
  <c r="A44" i="12"/>
  <c r="A43" i="12"/>
  <c r="A38" i="12"/>
  <c r="A31" i="12"/>
  <c r="A33" i="12"/>
  <c r="A34" i="12"/>
  <c r="A32" i="12"/>
  <c r="A27" i="12"/>
  <c r="A26" i="12"/>
  <c r="A22" i="12"/>
  <c r="A20" i="12"/>
  <c r="A17" i="12"/>
  <c r="A18" i="12"/>
  <c r="A16" i="12"/>
  <c r="A15" i="12"/>
  <c r="A13" i="12"/>
  <c r="A11" i="12"/>
  <c r="A10" i="12"/>
  <c r="A9" i="12"/>
  <c r="A42" i="11"/>
  <c r="A40" i="11"/>
  <c r="A39" i="11"/>
  <c r="A36" i="11"/>
  <c r="A37" i="11"/>
  <c r="A35" i="11"/>
  <c r="A34" i="11"/>
  <c r="A32" i="11"/>
  <c r="A31" i="11"/>
  <c r="A30" i="11"/>
  <c r="A28" i="11"/>
  <c r="A24" i="11"/>
  <c r="A18" i="11"/>
  <c r="A19" i="11"/>
  <c r="A20" i="11"/>
  <c r="A21" i="11"/>
  <c r="A22" i="11"/>
  <c r="A17" i="11"/>
  <c r="A13" i="11"/>
  <c r="A12" i="11"/>
  <c r="A6" i="11"/>
  <c r="A15" i="13"/>
  <c r="A17" i="13"/>
  <c r="A19" i="13"/>
  <c r="A20" i="13"/>
  <c r="A21" i="13"/>
  <c r="A22" i="13"/>
  <c r="A24" i="13"/>
  <c r="A26" i="13"/>
  <c r="A28" i="13"/>
  <c r="A29" i="13"/>
  <c r="A30" i="13"/>
  <c r="A31" i="13"/>
  <c r="A33" i="13"/>
  <c r="A34" i="13"/>
  <c r="A35" i="13"/>
  <c r="A37" i="13"/>
  <c r="A39" i="13"/>
  <c r="A40" i="13"/>
  <c r="A41" i="13"/>
  <c r="A42" i="13"/>
  <c r="A44" i="13"/>
  <c r="A45" i="13"/>
  <c r="A46" i="13"/>
  <c r="A48" i="13"/>
  <c r="A50" i="13"/>
  <c r="A51" i="13"/>
  <c r="A52" i="13"/>
  <c r="A54" i="13"/>
  <c r="A56" i="13"/>
  <c r="A57" i="13"/>
  <c r="A59" i="13"/>
  <c r="A8" i="13"/>
  <c r="A9" i="13"/>
  <c r="A10" i="13"/>
  <c r="A12" i="13"/>
  <c r="A13" i="13"/>
  <c r="A7" i="13"/>
  <c r="A5" i="13"/>
  <c r="K36" i="11"/>
  <c r="L36" i="11"/>
  <c r="I36" i="11"/>
  <c r="J36" i="11"/>
  <c r="H11" i="10" l="1"/>
  <c r="G12" i="10"/>
  <c r="N24" i="5" l="1"/>
  <c r="D54" i="3"/>
  <c r="F54" i="3" s="1"/>
  <c r="B81" i="6"/>
  <c r="P24" i="5" l="1"/>
  <c r="A359" i="4" l="1"/>
  <c r="C340" i="4"/>
  <c r="B340" i="4"/>
  <c r="B50" i="8" l="1"/>
  <c r="F17" i="10" l="1"/>
  <c r="B82" i="6"/>
  <c r="H16" i="10" l="1"/>
  <c r="H33" i="10" s="1"/>
  <c r="I17" i="10"/>
  <c r="D10" i="3" l="1"/>
  <c r="F10" i="3" s="1"/>
  <c r="B73" i="4"/>
  <c r="B84" i="6"/>
  <c r="C10" i="8" l="1"/>
  <c r="B8" i="8"/>
  <c r="B18" i="8" s="1"/>
  <c r="B63" i="6" l="1"/>
  <c r="B64" i="6" s="1"/>
  <c r="B65" i="6" s="1"/>
  <c r="B74" i="6" s="1"/>
  <c r="B26" i="5" s="1"/>
  <c r="C52" i="6"/>
  <c r="D52" i="6" s="1"/>
  <c r="C50" i="6"/>
  <c r="D50" i="6" s="1"/>
  <c r="C29" i="6"/>
  <c r="D29" i="6" s="1"/>
  <c r="D27" i="6" s="1"/>
  <c r="D6" i="6"/>
  <c r="B14" i="7"/>
  <c r="E10" i="7" s="1"/>
  <c r="F10" i="7" s="1"/>
  <c r="F9" i="7"/>
  <c r="D48" i="6" l="1"/>
  <c r="D54" i="6" s="1"/>
  <c r="D24" i="5" s="1"/>
  <c r="B10" i="13"/>
  <c r="N18" i="8"/>
  <c r="A38" i="8"/>
  <c r="A37" i="8"/>
  <c r="L22" i="13"/>
  <c r="L30" i="13"/>
  <c r="L31" i="13"/>
  <c r="L34" i="13"/>
  <c r="L35" i="13"/>
  <c r="L37" i="13"/>
  <c r="L44" i="13"/>
  <c r="L46" i="13"/>
  <c r="L50" i="13"/>
  <c r="L56" i="13"/>
  <c r="L15" i="13"/>
  <c r="K13" i="13"/>
  <c r="K15" i="13"/>
  <c r="K22" i="13"/>
  <c r="K30" i="13"/>
  <c r="K31" i="13"/>
  <c r="K34" i="13"/>
  <c r="K35" i="13"/>
  <c r="K37" i="13"/>
  <c r="K44" i="13"/>
  <c r="K46" i="13"/>
  <c r="K50" i="13"/>
  <c r="K51" i="13"/>
  <c r="K56" i="13"/>
  <c r="K57" i="13"/>
  <c r="F56" i="13"/>
  <c r="F50" i="13"/>
  <c r="F46" i="13"/>
  <c r="F44" i="13"/>
  <c r="F37" i="13"/>
  <c r="F35" i="13"/>
  <c r="F34" i="13"/>
  <c r="F31" i="13"/>
  <c r="F30" i="13"/>
  <c r="F22" i="13"/>
  <c r="F15" i="13"/>
  <c r="D57" i="13"/>
  <c r="D56" i="13"/>
  <c r="D51" i="13"/>
  <c r="I51" i="13" s="1"/>
  <c r="D50" i="13"/>
  <c r="D46" i="13"/>
  <c r="D44" i="13"/>
  <c r="D37" i="13"/>
  <c r="D35" i="13"/>
  <c r="D34" i="13"/>
  <c r="D31" i="13"/>
  <c r="D30" i="13"/>
  <c r="D22" i="13"/>
  <c r="I22" i="13" s="1"/>
  <c r="D15" i="13"/>
  <c r="D13" i="13"/>
  <c r="D12" i="13" s="1"/>
  <c r="B57" i="13"/>
  <c r="B56" i="13"/>
  <c r="B51" i="13"/>
  <c r="B50" i="13"/>
  <c r="B46" i="13"/>
  <c r="B44" i="13"/>
  <c r="B37" i="13"/>
  <c r="B35" i="13"/>
  <c r="B34" i="13"/>
  <c r="B30" i="13"/>
  <c r="B31" i="13"/>
  <c r="B22" i="13"/>
  <c r="B15" i="13"/>
  <c r="B13" i="13"/>
  <c r="B12" i="13" s="1"/>
  <c r="G46" i="5"/>
  <c r="H46" i="5"/>
  <c r="D5" i="12"/>
  <c r="F5" i="12"/>
  <c r="F55" i="12"/>
  <c r="F54" i="12" s="1"/>
  <c r="F52" i="12"/>
  <c r="F44" i="12"/>
  <c r="F43" i="12"/>
  <c r="F40" i="12"/>
  <c r="F34" i="12"/>
  <c r="F32" i="12"/>
  <c r="F26" i="12"/>
  <c r="F22" i="12"/>
  <c r="F18" i="12"/>
  <c r="F16" i="12"/>
  <c r="F13" i="12"/>
  <c r="F11" i="12"/>
  <c r="F10" i="12"/>
  <c r="D55" i="12"/>
  <c r="D54" i="12" s="1"/>
  <c r="D52" i="12"/>
  <c r="D44" i="12"/>
  <c r="D43" i="12"/>
  <c r="D40" i="12"/>
  <c r="D34" i="12"/>
  <c r="D32" i="12"/>
  <c r="D27" i="12"/>
  <c r="D26" i="12"/>
  <c r="D22" i="12"/>
  <c r="D18" i="12"/>
  <c r="D17" i="12"/>
  <c r="D16" i="12"/>
  <c r="D13" i="12"/>
  <c r="D11" i="12"/>
  <c r="D10" i="12"/>
  <c r="B55" i="12"/>
  <c r="B54" i="12" s="1"/>
  <c r="B52" i="12"/>
  <c r="B44" i="12"/>
  <c r="B43" i="12"/>
  <c r="B40" i="12"/>
  <c r="K40" i="12" s="1"/>
  <c r="B34" i="12"/>
  <c r="B32" i="12"/>
  <c r="B27" i="12"/>
  <c r="B26" i="12"/>
  <c r="B24" i="12" s="1"/>
  <c r="B22" i="12"/>
  <c r="K22" i="12" s="1"/>
  <c r="B17" i="12"/>
  <c r="B18" i="12"/>
  <c r="B16" i="12"/>
  <c r="K16" i="12" s="1"/>
  <c r="B13" i="12"/>
  <c r="K13" i="12" s="1"/>
  <c r="B11" i="12"/>
  <c r="B10" i="12"/>
  <c r="I40" i="12"/>
  <c r="B5" i="12"/>
  <c r="A2" i="12"/>
  <c r="A1" i="12"/>
  <c r="F41" i="3"/>
  <c r="D41" i="3"/>
  <c r="B41" i="3"/>
  <c r="I43" i="3"/>
  <c r="J43" i="3"/>
  <c r="K43" i="3"/>
  <c r="L43" i="3"/>
  <c r="A41" i="3"/>
  <c r="A42" i="12" s="1"/>
  <c r="A39" i="3"/>
  <c r="A40" i="12" s="1"/>
  <c r="A38" i="3"/>
  <c r="A39" i="12" s="1"/>
  <c r="L21" i="3"/>
  <c r="K21" i="3"/>
  <c r="J21" i="3"/>
  <c r="I21" i="3"/>
  <c r="A2" i="3"/>
  <c r="G4" i="11"/>
  <c r="G5" i="12" s="1"/>
  <c r="E4" i="11"/>
  <c r="E5" i="12" s="1"/>
  <c r="C4" i="11"/>
  <c r="C5" i="12" s="1"/>
  <c r="A2" i="11"/>
  <c r="L6" i="11"/>
  <c r="F13" i="11"/>
  <c r="F12" i="11"/>
  <c r="D13" i="11"/>
  <c r="D12" i="11"/>
  <c r="B12" i="11"/>
  <c r="B13" i="11"/>
  <c r="K13" i="11" s="1"/>
  <c r="I13" i="2"/>
  <c r="J13" i="2"/>
  <c r="J12" i="2"/>
  <c r="I12" i="2"/>
  <c r="F32" i="11"/>
  <c r="D32" i="11"/>
  <c r="F24" i="11"/>
  <c r="D24" i="11"/>
  <c r="B42" i="11"/>
  <c r="K42" i="11" s="1"/>
  <c r="B32" i="11"/>
  <c r="B31" i="11"/>
  <c r="B24" i="11"/>
  <c r="B6" i="11"/>
  <c r="I6" i="11" s="1"/>
  <c r="A1" i="11"/>
  <c r="L42" i="11"/>
  <c r="J42" i="11"/>
  <c r="L28" i="11"/>
  <c r="K28" i="11"/>
  <c r="J28" i="11"/>
  <c r="I28" i="11"/>
  <c r="J6" i="11"/>
  <c r="I32" i="2"/>
  <c r="J32" i="2"/>
  <c r="B30" i="2"/>
  <c r="J50" i="13" l="1"/>
  <c r="I13" i="11"/>
  <c r="J18" i="12"/>
  <c r="I52" i="12"/>
  <c r="L41" i="3"/>
  <c r="J15" i="13"/>
  <c r="K12" i="11"/>
  <c r="L44" i="12"/>
  <c r="L34" i="12"/>
  <c r="J52" i="12"/>
  <c r="F42" i="12"/>
  <c r="L42" i="12" s="1"/>
  <c r="B33" i="13"/>
  <c r="F33" i="13"/>
  <c r="J56" i="13"/>
  <c r="I46" i="13"/>
  <c r="D33" i="13"/>
  <c r="I33" i="13" s="1"/>
  <c r="J46" i="13"/>
  <c r="J34" i="13"/>
  <c r="I57" i="13"/>
  <c r="I30" i="13"/>
  <c r="I37" i="13"/>
  <c r="L40" i="12"/>
  <c r="J34" i="12"/>
  <c r="I44" i="12"/>
  <c r="J10" i="12"/>
  <c r="I17" i="12"/>
  <c r="D42" i="12"/>
  <c r="I41" i="3"/>
  <c r="I35" i="13"/>
  <c r="K27" i="12"/>
  <c r="I22" i="12"/>
  <c r="I34" i="12"/>
  <c r="K52" i="12"/>
  <c r="F9" i="12"/>
  <c r="I12" i="13"/>
  <c r="J44" i="13"/>
  <c r="I56" i="13"/>
  <c r="K17" i="12"/>
  <c r="I10" i="12"/>
  <c r="I27" i="12"/>
  <c r="D24" i="12"/>
  <c r="J30" i="13"/>
  <c r="J11" i="12"/>
  <c r="L11" i="12"/>
  <c r="D9" i="12"/>
  <c r="B9" i="12"/>
  <c r="K11" i="12"/>
  <c r="I11" i="12"/>
  <c r="B21" i="13"/>
  <c r="J35" i="13"/>
  <c r="J22" i="13"/>
  <c r="J31" i="13"/>
  <c r="J37" i="13"/>
  <c r="I31" i="13"/>
  <c r="I13" i="13"/>
  <c r="I50" i="13"/>
  <c r="I15" i="13"/>
  <c r="I44" i="13"/>
  <c r="I34" i="13"/>
  <c r="K10" i="12"/>
  <c r="L22" i="12"/>
  <c r="L16" i="12"/>
  <c r="I18" i="12"/>
  <c r="L10" i="12"/>
  <c r="J44" i="12"/>
  <c r="J16" i="12"/>
  <c r="I26" i="12"/>
  <c r="B42" i="12"/>
  <c r="J40" i="12"/>
  <c r="L52" i="12"/>
  <c r="L55" i="12"/>
  <c r="L32" i="12"/>
  <c r="L43" i="12"/>
  <c r="J13" i="12"/>
  <c r="J22" i="12"/>
  <c r="K54" i="12"/>
  <c r="L54" i="12"/>
  <c r="L13" i="12"/>
  <c r="K18" i="12"/>
  <c r="J26" i="12"/>
  <c r="I43" i="12"/>
  <c r="I55" i="12"/>
  <c r="D15" i="12"/>
  <c r="I13" i="12"/>
  <c r="L18" i="12"/>
  <c r="K24" i="12"/>
  <c r="K26" i="12"/>
  <c r="J32" i="12"/>
  <c r="J43" i="12"/>
  <c r="K44" i="12"/>
  <c r="J55" i="12"/>
  <c r="I32" i="12"/>
  <c r="L26" i="12"/>
  <c r="K32" i="12"/>
  <c r="K43" i="12"/>
  <c r="J54" i="12"/>
  <c r="K55" i="12"/>
  <c r="I16" i="12"/>
  <c r="K34" i="12"/>
  <c r="I24" i="12"/>
  <c r="B15" i="12"/>
  <c r="I54" i="12"/>
  <c r="K41" i="3"/>
  <c r="J41" i="3"/>
  <c r="I32" i="11"/>
  <c r="I42" i="11"/>
  <c r="B30" i="11"/>
  <c r="K24" i="11"/>
  <c r="L24" i="11"/>
  <c r="J32" i="11"/>
  <c r="B10" i="11"/>
  <c r="F10" i="11"/>
  <c r="J13" i="11"/>
  <c r="J24" i="11"/>
  <c r="I24" i="11"/>
  <c r="K6" i="11"/>
  <c r="L13" i="11"/>
  <c r="L12" i="11"/>
  <c r="J12" i="11"/>
  <c r="I12" i="11"/>
  <c r="D10" i="11"/>
  <c r="L32" i="11"/>
  <c r="K32" i="11"/>
  <c r="I42" i="12" l="1"/>
  <c r="J42" i="12"/>
  <c r="J33" i="13"/>
  <c r="K42" i="12"/>
  <c r="L9" i="12"/>
  <c r="J9" i="12"/>
  <c r="K9" i="12"/>
  <c r="I9" i="12"/>
  <c r="D10" i="13"/>
  <c r="I10" i="13" s="1"/>
  <c r="K10" i="13"/>
  <c r="E26" i="10"/>
  <c r="C24" i="10"/>
  <c r="K15" i="12"/>
  <c r="I15" i="12"/>
  <c r="L10" i="11"/>
  <c r="J10" i="11"/>
  <c r="I10" i="11"/>
  <c r="K10" i="11"/>
  <c r="E31" i="10"/>
  <c r="E30" i="10"/>
  <c r="E27" i="10"/>
  <c r="E25" i="10"/>
  <c r="E22" i="10"/>
  <c r="E21" i="10"/>
  <c r="E12" i="10"/>
  <c r="E9" i="10"/>
  <c r="E8" i="10"/>
  <c r="C7" i="10"/>
  <c r="C29" i="10"/>
  <c r="C20" i="10"/>
  <c r="C16" i="10"/>
  <c r="B19" i="2" s="1"/>
  <c r="C11" i="10"/>
  <c r="A12" i="10"/>
  <c r="A25" i="10" s="1"/>
  <c r="A1" i="10"/>
  <c r="F18" i="10" l="1"/>
  <c r="I18" i="10" s="1"/>
  <c r="J18" i="10" s="1"/>
  <c r="F27" i="10"/>
  <c r="F21" i="10"/>
  <c r="F30" i="10"/>
  <c r="F9" i="10"/>
  <c r="G9" i="10" s="1"/>
  <c r="F22" i="10"/>
  <c r="F20" i="10" s="1"/>
  <c r="I22" i="10"/>
  <c r="F12" i="10"/>
  <c r="F11" i="10" s="1"/>
  <c r="E24" i="10"/>
  <c r="B21" i="2" s="1"/>
  <c r="B21" i="11" s="1"/>
  <c r="D21" i="13"/>
  <c r="K21" i="13"/>
  <c r="F10" i="13"/>
  <c r="J10" i="13" s="1"/>
  <c r="L10" i="13"/>
  <c r="F26" i="10"/>
  <c r="G26" i="10" s="1"/>
  <c r="F8" i="10"/>
  <c r="G8" i="10" s="1"/>
  <c r="G7" i="10" s="1"/>
  <c r="E7" i="10"/>
  <c r="F31" i="10"/>
  <c r="G31" i="10" s="1"/>
  <c r="E29" i="10"/>
  <c r="F25" i="10"/>
  <c r="G21" i="10"/>
  <c r="I21" i="10" s="1"/>
  <c r="G22" i="10"/>
  <c r="E20" i="10"/>
  <c r="E16" i="10"/>
  <c r="E11" i="10"/>
  <c r="B18" i="2" s="1"/>
  <c r="J13" i="10"/>
  <c r="C33" i="10"/>
  <c r="D18" i="2" l="1"/>
  <c r="F16" i="10"/>
  <c r="D19" i="2" s="1"/>
  <c r="F19" i="2" s="1"/>
  <c r="G30" i="10"/>
  <c r="I30" i="10" s="1"/>
  <c r="J30" i="10" s="1"/>
  <c r="B20" i="2"/>
  <c r="D20" i="2" s="1"/>
  <c r="D20" i="11" s="1"/>
  <c r="I26" i="10"/>
  <c r="J22" i="10"/>
  <c r="J21" i="10"/>
  <c r="J20" i="10" s="1"/>
  <c r="F20" i="2" s="1"/>
  <c r="F20" i="11" s="1"/>
  <c r="G27" i="10"/>
  <c r="I27" i="10" s="1"/>
  <c r="J27" i="10" s="1"/>
  <c r="B17" i="2"/>
  <c r="B17" i="11" s="1"/>
  <c r="I9" i="10"/>
  <c r="J9" i="10" s="1"/>
  <c r="I8" i="10"/>
  <c r="J8" i="10" s="1"/>
  <c r="B22" i="2"/>
  <c r="B22" i="11" s="1"/>
  <c r="I31" i="10"/>
  <c r="I12" i="10"/>
  <c r="J12" i="10" s="1"/>
  <c r="L14" i="10"/>
  <c r="L15" i="10" s="1"/>
  <c r="L18" i="10" s="1"/>
  <c r="L13" i="13"/>
  <c r="F13" i="13"/>
  <c r="G16" i="10"/>
  <c r="D19" i="11"/>
  <c r="B19" i="11"/>
  <c r="F24" i="10"/>
  <c r="D21" i="2" s="1"/>
  <c r="D21" i="11" s="1"/>
  <c r="K21" i="11" s="1"/>
  <c r="J26" i="10"/>
  <c r="L21" i="13"/>
  <c r="F21" i="13"/>
  <c r="J21" i="13" s="1"/>
  <c r="I21" i="13"/>
  <c r="F7" i="10"/>
  <c r="I7" i="10" s="1"/>
  <c r="G29" i="10"/>
  <c r="J31" i="10"/>
  <c r="F29" i="10"/>
  <c r="G25" i="10"/>
  <c r="G20" i="10"/>
  <c r="J17" i="10"/>
  <c r="E33" i="10"/>
  <c r="B29" i="5" s="1"/>
  <c r="B29" i="13" s="1"/>
  <c r="B28" i="13" s="1"/>
  <c r="G11" i="10"/>
  <c r="I11" i="10" s="1"/>
  <c r="H312" i="4"/>
  <c r="I311" i="4"/>
  <c r="G313" i="4"/>
  <c r="L305" i="4"/>
  <c r="I305" i="4" s="1"/>
  <c r="I299" i="4"/>
  <c r="H300" i="4"/>
  <c r="H303" i="4" s="1"/>
  <c r="G303" i="4"/>
  <c r="G297" i="4"/>
  <c r="H297" i="4"/>
  <c r="M137" i="4"/>
  <c r="I138" i="4"/>
  <c r="N129" i="4"/>
  <c r="N132" i="4" s="1"/>
  <c r="M132" i="4"/>
  <c r="O128" i="4"/>
  <c r="G132" i="4"/>
  <c r="H129" i="4"/>
  <c r="H132" i="4" s="1"/>
  <c r="I128" i="4"/>
  <c r="K39" i="3"/>
  <c r="L39" i="3"/>
  <c r="K42" i="3"/>
  <c r="L42" i="3"/>
  <c r="K51" i="3"/>
  <c r="L51" i="3"/>
  <c r="K54" i="3"/>
  <c r="L54" i="3"/>
  <c r="K31" i="3"/>
  <c r="L31" i="3"/>
  <c r="K33" i="3"/>
  <c r="L33" i="3"/>
  <c r="K26" i="3"/>
  <c r="L25" i="3"/>
  <c r="K25" i="3"/>
  <c r="K9" i="3"/>
  <c r="L9" i="3"/>
  <c r="K10" i="3"/>
  <c r="L10" i="3"/>
  <c r="K12" i="3"/>
  <c r="L12" i="3"/>
  <c r="K15" i="3"/>
  <c r="L15" i="3"/>
  <c r="K16" i="3"/>
  <c r="K17" i="3"/>
  <c r="L17" i="3"/>
  <c r="I28" i="2"/>
  <c r="J28" i="2"/>
  <c r="I42" i="2"/>
  <c r="J42" i="2"/>
  <c r="I24" i="2"/>
  <c r="J24" i="2"/>
  <c r="B20" i="11" l="1"/>
  <c r="F18" i="2"/>
  <c r="D22" i="2"/>
  <c r="I22" i="2" s="1"/>
  <c r="I29" i="10"/>
  <c r="I20" i="10"/>
  <c r="G24" i="10"/>
  <c r="I25" i="10"/>
  <c r="J7" i="10"/>
  <c r="F17" i="2" s="1"/>
  <c r="F17" i="11" s="1"/>
  <c r="I16" i="10"/>
  <c r="J16" i="10" s="1"/>
  <c r="K20" i="11"/>
  <c r="J20" i="11"/>
  <c r="L20" i="11"/>
  <c r="B18" i="11"/>
  <c r="B15" i="11" s="1"/>
  <c r="B8" i="11" s="1"/>
  <c r="D22" i="11"/>
  <c r="F12" i="13"/>
  <c r="J12" i="13" s="1"/>
  <c r="J13" i="13"/>
  <c r="D17" i="2"/>
  <c r="I20" i="11"/>
  <c r="F26" i="3"/>
  <c r="L51" i="13"/>
  <c r="F51" i="13"/>
  <c r="J51" i="13" s="1"/>
  <c r="D57" i="5"/>
  <c r="I19" i="2"/>
  <c r="I19" i="11"/>
  <c r="K19" i="11"/>
  <c r="I21" i="2"/>
  <c r="I21" i="11"/>
  <c r="H313" i="4"/>
  <c r="I313" i="4" s="1"/>
  <c r="I315" i="4" s="1"/>
  <c r="I297" i="4"/>
  <c r="J29" i="10"/>
  <c r="F22" i="2" s="1"/>
  <c r="F33" i="10"/>
  <c r="C29" i="5" s="1"/>
  <c r="B123" i="4" s="1"/>
  <c r="J11" i="10"/>
  <c r="I132" i="4"/>
  <c r="O132" i="4"/>
  <c r="M136" i="4" s="1"/>
  <c r="M138" i="4" s="1"/>
  <c r="I303" i="4"/>
  <c r="B28" i="5"/>
  <c r="G31" i="5"/>
  <c r="H31" i="5"/>
  <c r="F19" i="11" l="1"/>
  <c r="L19" i="11" s="1"/>
  <c r="D18" i="11"/>
  <c r="K18" i="11" s="1"/>
  <c r="F18" i="11"/>
  <c r="C133" i="4"/>
  <c r="F27" i="12"/>
  <c r="L26" i="3"/>
  <c r="C22" i="7"/>
  <c r="B332" i="4"/>
  <c r="F16" i="3"/>
  <c r="J16" i="3" s="1"/>
  <c r="L57" i="13"/>
  <c r="F57" i="13"/>
  <c r="J57" i="13" s="1"/>
  <c r="D17" i="11"/>
  <c r="I17" i="2"/>
  <c r="F22" i="11"/>
  <c r="L22" i="11" s="1"/>
  <c r="J22" i="2"/>
  <c r="J22" i="11"/>
  <c r="I22" i="11"/>
  <c r="K22" i="11"/>
  <c r="C28" i="5"/>
  <c r="K29" i="13"/>
  <c r="D29" i="13"/>
  <c r="I29" i="13" s="1"/>
  <c r="I304" i="4"/>
  <c r="I307" i="4" s="1"/>
  <c r="B382" i="4"/>
  <c r="J25" i="10"/>
  <c r="J24" i="10" s="1"/>
  <c r="F21" i="2" s="1"/>
  <c r="I24" i="10"/>
  <c r="I33" i="10" s="1"/>
  <c r="C123" i="4"/>
  <c r="B69" i="4"/>
  <c r="C69" i="4"/>
  <c r="D69" i="4"/>
  <c r="I9" i="3"/>
  <c r="J9" i="3"/>
  <c r="I10" i="3"/>
  <c r="J10" i="3"/>
  <c r="I12" i="3"/>
  <c r="J12" i="3"/>
  <c r="I15" i="3"/>
  <c r="J15" i="3"/>
  <c r="I16" i="3"/>
  <c r="I17" i="3"/>
  <c r="J17" i="3"/>
  <c r="I25" i="3"/>
  <c r="J25" i="3"/>
  <c r="I26" i="3"/>
  <c r="J26" i="3"/>
  <c r="I31" i="3"/>
  <c r="J31" i="3"/>
  <c r="I33" i="3"/>
  <c r="J33" i="3"/>
  <c r="I39" i="3"/>
  <c r="J39" i="3"/>
  <c r="I42" i="3"/>
  <c r="J42" i="3"/>
  <c r="I51" i="3"/>
  <c r="J51" i="3"/>
  <c r="I54" i="3"/>
  <c r="J54" i="3"/>
  <c r="B15" i="2"/>
  <c r="D10" i="2"/>
  <c r="F10" i="2"/>
  <c r="B10" i="2"/>
  <c r="G13" i="5"/>
  <c r="H13" i="5"/>
  <c r="G15" i="5"/>
  <c r="H15" i="5"/>
  <c r="D12" i="5"/>
  <c r="C12" i="5"/>
  <c r="B12" i="5"/>
  <c r="G29" i="5"/>
  <c r="G30" i="5"/>
  <c r="H30" i="5"/>
  <c r="G34" i="5"/>
  <c r="H34" i="5"/>
  <c r="G35" i="5"/>
  <c r="H35" i="5"/>
  <c r="G37" i="5"/>
  <c r="H37" i="5"/>
  <c r="G44" i="5"/>
  <c r="H44" i="5"/>
  <c r="G50" i="5"/>
  <c r="H50" i="5"/>
  <c r="G51" i="5"/>
  <c r="H51" i="5"/>
  <c r="G56" i="5"/>
  <c r="H56" i="5"/>
  <c r="G57" i="5"/>
  <c r="H57" i="5"/>
  <c r="J19" i="11" l="1"/>
  <c r="C332" i="4"/>
  <c r="I18" i="11"/>
  <c r="L18" i="11"/>
  <c r="J18" i="11"/>
  <c r="C131" i="4"/>
  <c r="F17" i="12"/>
  <c r="L16" i="3"/>
  <c r="K12" i="13"/>
  <c r="L12" i="13"/>
  <c r="L17" i="11"/>
  <c r="I17" i="11"/>
  <c r="K17" i="11"/>
  <c r="D15" i="11"/>
  <c r="J17" i="11"/>
  <c r="J27" i="12"/>
  <c r="L27" i="12"/>
  <c r="F24" i="12"/>
  <c r="D28" i="5"/>
  <c r="H29" i="5"/>
  <c r="F29" i="13"/>
  <c r="J29" i="13" s="1"/>
  <c r="L29" i="13"/>
  <c r="K28" i="13"/>
  <c r="D28" i="13"/>
  <c r="I28" i="13" s="1"/>
  <c r="B101" i="4"/>
  <c r="C382" i="4"/>
  <c r="J33" i="10"/>
  <c r="F21" i="11"/>
  <c r="J21" i="2"/>
  <c r="H12" i="5"/>
  <c r="B8" i="2"/>
  <c r="G12" i="5"/>
  <c r="C101" i="4" l="1"/>
  <c r="D382" i="4"/>
  <c r="D332" i="4"/>
  <c r="K15" i="11"/>
  <c r="I15" i="11"/>
  <c r="D8" i="11"/>
  <c r="B149" i="4"/>
  <c r="B177" i="4"/>
  <c r="L24" i="12"/>
  <c r="J24" i="12"/>
  <c r="L17" i="12"/>
  <c r="J17" i="12"/>
  <c r="F15" i="12"/>
  <c r="F28" i="13"/>
  <c r="J28" i="13" s="1"/>
  <c r="L28" i="13"/>
  <c r="J21" i="11"/>
  <c r="L21" i="11"/>
  <c r="F15" i="11"/>
  <c r="C33" i="5"/>
  <c r="B56" i="8" s="1"/>
  <c r="C56" i="8" s="1"/>
  <c r="D56" i="8" s="1"/>
  <c r="E56" i="8" s="1"/>
  <c r="F56" i="8" s="1"/>
  <c r="G56" i="8" s="1"/>
  <c r="H56" i="8" s="1"/>
  <c r="I56" i="8" s="1"/>
  <c r="J56" i="8" s="1"/>
  <c r="K56" i="8" s="1"/>
  <c r="L56" i="8" s="1"/>
  <c r="M56" i="8" s="1"/>
  <c r="D33" i="5"/>
  <c r="B33" i="5"/>
  <c r="D23" i="3"/>
  <c r="F23" i="3"/>
  <c r="B23" i="3"/>
  <c r="D14" i="3"/>
  <c r="C262" i="4" s="1"/>
  <c r="F14" i="3"/>
  <c r="D262" i="4" s="1"/>
  <c r="B14" i="3"/>
  <c r="B262" i="4" s="1"/>
  <c r="K8" i="11" l="1"/>
  <c r="I8" i="11"/>
  <c r="C23" i="7"/>
  <c r="B25" i="8"/>
  <c r="C25" i="8" s="1"/>
  <c r="D25" i="8" s="1"/>
  <c r="E25" i="8" s="1"/>
  <c r="F25" i="8" s="1"/>
  <c r="G25" i="8" s="1"/>
  <c r="H25" i="8" s="1"/>
  <c r="I25" i="8" s="1"/>
  <c r="J25" i="8" s="1"/>
  <c r="K25" i="8" s="1"/>
  <c r="L25" i="8" s="1"/>
  <c r="M25" i="8" s="1"/>
  <c r="J15" i="12"/>
  <c r="L15" i="12"/>
  <c r="L33" i="13"/>
  <c r="K33" i="13"/>
  <c r="L15" i="11"/>
  <c r="J15" i="11"/>
  <c r="F8" i="11"/>
  <c r="K23" i="3"/>
  <c r="B132" i="4" s="1"/>
  <c r="J23" i="3"/>
  <c r="L23" i="3"/>
  <c r="C132" i="4" s="1"/>
  <c r="L14" i="3"/>
  <c r="K14" i="3"/>
  <c r="J14" i="3"/>
  <c r="I14" i="3"/>
  <c r="I23" i="3"/>
  <c r="G33" i="5"/>
  <c r="H33" i="5"/>
  <c r="G28" i="5"/>
  <c r="H28" i="5"/>
  <c r="N42" i="8"/>
  <c r="N38" i="8"/>
  <c r="N27" i="8"/>
  <c r="N8" i="8"/>
  <c r="J8" i="11" l="1"/>
  <c r="L8" i="11"/>
  <c r="N50" i="8"/>
  <c r="N49" i="8"/>
  <c r="H10" i="5"/>
  <c r="D4" i="5"/>
  <c r="D65" i="5" s="1"/>
  <c r="C4" i="5"/>
  <c r="C4" i="6" l="1"/>
  <c r="C59" i="6" s="1"/>
  <c r="C65" i="5"/>
  <c r="H22" i="5"/>
  <c r="G21" i="5"/>
  <c r="H21" i="5"/>
  <c r="G10" i="5"/>
  <c r="G22" i="5"/>
  <c r="N37" i="8"/>
  <c r="F53" i="3"/>
  <c r="D53" i="3"/>
  <c r="L53" i="3" s="1"/>
  <c r="B53" i="3"/>
  <c r="B12" i="8" s="1"/>
  <c r="N12" i="8" s="1"/>
  <c r="A1" i="6"/>
  <c r="A1" i="7" s="1"/>
  <c r="F4" i="3"/>
  <c r="D4" i="3"/>
  <c r="B4" i="3"/>
  <c r="A1" i="3"/>
  <c r="C144" i="4" l="1"/>
  <c r="D4" i="13"/>
  <c r="D144" i="4"/>
  <c r="F4" i="13"/>
  <c r="B4" i="5"/>
  <c r="B65" i="5" s="1"/>
  <c r="B144" i="4"/>
  <c r="B223" i="4" s="1"/>
  <c r="B294" i="4" s="1"/>
  <c r="B320" i="4" s="1"/>
  <c r="B4" i="13"/>
  <c r="A1" i="13"/>
  <c r="I53" i="3"/>
  <c r="K53" i="3"/>
  <c r="J19" i="2"/>
  <c r="J53" i="3"/>
  <c r="B4" i="6"/>
  <c r="A1" i="5"/>
  <c r="A62" i="5" s="1"/>
  <c r="A1" i="8"/>
  <c r="A1" i="4"/>
  <c r="A219" i="4" s="1"/>
  <c r="C192" i="4" l="1"/>
  <c r="D223" i="4"/>
  <c r="D294" i="4" s="1"/>
  <c r="D320" i="4" s="1"/>
  <c r="C223" i="4"/>
  <c r="C294" i="4" s="1"/>
  <c r="C320" i="4" s="1"/>
  <c r="B192" i="4"/>
  <c r="A66" i="4"/>
  <c r="A171" i="4"/>
  <c r="B59" i="6"/>
  <c r="D31" i="2"/>
  <c r="D31" i="11" s="1"/>
  <c r="F8" i="3"/>
  <c r="D8" i="3"/>
  <c r="B8" i="3"/>
  <c r="B72" i="4" s="1"/>
  <c r="B7" i="8" s="1"/>
  <c r="D30" i="11" l="1"/>
  <c r="K31" i="11"/>
  <c r="I31" i="11"/>
  <c r="I31" i="2"/>
  <c r="D30" i="2"/>
  <c r="L8" i="3"/>
  <c r="K8" i="3"/>
  <c r="I8" i="3"/>
  <c r="J8" i="3"/>
  <c r="F31" i="2"/>
  <c r="F30" i="2" l="1"/>
  <c r="F31" i="11"/>
  <c r="I30" i="11"/>
  <c r="K30" i="11"/>
  <c r="J31" i="2"/>
  <c r="C25" i="7"/>
  <c r="F25" i="7" s="1"/>
  <c r="L31" i="11" l="1"/>
  <c r="J31" i="11"/>
  <c r="F30" i="11"/>
  <c r="N19" i="8"/>
  <c r="J30" i="11" l="1"/>
  <c r="L30" i="11"/>
  <c r="N53" i="8"/>
  <c r="E20" i="7"/>
  <c r="J17" i="2"/>
  <c r="I18" i="2"/>
  <c r="F20" i="7"/>
  <c r="C61" i="6"/>
  <c r="C48" i="6"/>
  <c r="C43" i="6"/>
  <c r="C27" i="6"/>
  <c r="C63" i="6" l="1"/>
  <c r="D61" i="6"/>
  <c r="D63" i="6" s="1"/>
  <c r="D64" i="6" s="1"/>
  <c r="D65" i="6" s="1"/>
  <c r="D74" i="6" s="1"/>
  <c r="D26" i="5" s="1"/>
  <c r="J18" i="2"/>
  <c r="C35" i="6"/>
  <c r="F15" i="2"/>
  <c r="F8" i="2" s="1"/>
  <c r="C16" i="6"/>
  <c r="C6" i="6"/>
  <c r="C64" i="6" l="1"/>
  <c r="C65" i="6" s="1"/>
  <c r="C74" i="6" s="1"/>
  <c r="D149" i="4"/>
  <c r="D177" i="4"/>
  <c r="C54" i="6"/>
  <c r="C24" i="5" s="1"/>
  <c r="B43" i="6"/>
  <c r="B48" i="6"/>
  <c r="B27" i="6"/>
  <c r="B35" i="6"/>
  <c r="B16" i="6"/>
  <c r="B6" i="6"/>
  <c r="C26" i="5" l="1"/>
  <c r="D330" i="4"/>
  <c r="M45" i="5"/>
  <c r="I30" i="2"/>
  <c r="J30" i="2"/>
  <c r="D15" i="2"/>
  <c r="D8" i="2" s="1"/>
  <c r="I20" i="2"/>
  <c r="J20" i="2"/>
  <c r="E22" i="7"/>
  <c r="B54" i="6"/>
  <c r="B24" i="5" l="1"/>
  <c r="C149" i="4"/>
  <c r="C177" i="4"/>
  <c r="K45" i="5"/>
  <c r="D24" i="13"/>
  <c r="I15" i="2"/>
  <c r="J15" i="2"/>
  <c r="I8" i="2"/>
  <c r="J8" i="2"/>
  <c r="C121" i="4" s="1"/>
  <c r="C124" i="4" s="1"/>
  <c r="O45" i="5" l="1"/>
  <c r="H24" i="5"/>
  <c r="K24" i="13"/>
  <c r="C205" i="4"/>
  <c r="G24" i="5"/>
  <c r="B330" i="4"/>
  <c r="F24" i="13"/>
  <c r="J24" i="13" s="1"/>
  <c r="L24" i="13"/>
  <c r="C20" i="7"/>
  <c r="C21" i="8"/>
  <c r="B24" i="13"/>
  <c r="I24" i="13" s="1"/>
  <c r="B121" i="4"/>
  <c r="B124" i="4" s="1"/>
  <c r="F26" i="13"/>
  <c r="L26" i="13" l="1"/>
  <c r="C330" i="4"/>
  <c r="H26" i="5"/>
  <c r="B205" i="4"/>
  <c r="B55" i="8"/>
  <c r="D26" i="13"/>
  <c r="C21" i="7"/>
  <c r="F21" i="7" s="1"/>
  <c r="B24" i="8"/>
  <c r="B26" i="13"/>
  <c r="K26" i="13"/>
  <c r="G26" i="5"/>
  <c r="D21" i="8"/>
  <c r="E21" i="8" s="1"/>
  <c r="F21" i="8" s="1"/>
  <c r="G21" i="8" s="1"/>
  <c r="H21" i="8" s="1"/>
  <c r="I21" i="8" s="1"/>
  <c r="J21" i="8" s="1"/>
  <c r="K21" i="8" s="1"/>
  <c r="L21" i="8" s="1"/>
  <c r="M21" i="8" s="1"/>
  <c r="B52" i="8" s="1"/>
  <c r="N40" i="8"/>
  <c r="I26" i="13" l="1"/>
  <c r="C55" i="8"/>
  <c r="D55" i="8" s="1"/>
  <c r="E55" i="8" s="1"/>
  <c r="F55" i="8" s="1"/>
  <c r="G55" i="8" s="1"/>
  <c r="H55" i="8" s="1"/>
  <c r="I55" i="8" s="1"/>
  <c r="J55" i="8" s="1"/>
  <c r="K55" i="8" s="1"/>
  <c r="L55" i="8" s="1"/>
  <c r="M55" i="8" s="1"/>
  <c r="J26" i="13"/>
  <c r="C24" i="8"/>
  <c r="D24" i="8" s="1"/>
  <c r="E24" i="8" s="1"/>
  <c r="F24" i="8" s="1"/>
  <c r="G24" i="8" s="1"/>
  <c r="H24" i="8" s="1"/>
  <c r="I24" i="8" s="1"/>
  <c r="J24" i="8" s="1"/>
  <c r="K24" i="8" s="1"/>
  <c r="L24" i="8" s="1"/>
  <c r="M24" i="8" s="1"/>
  <c r="N21" i="8"/>
  <c r="N55" i="8" l="1"/>
  <c r="N24" i="8"/>
  <c r="E23" i="7" l="1"/>
  <c r="E26" i="7" s="1"/>
  <c r="B376" i="4" s="1"/>
  <c r="F23" i="7" l="1"/>
  <c r="N22" i="8" l="1"/>
  <c r="N25" i="8" l="1"/>
  <c r="N56" i="8" l="1"/>
  <c r="N58" i="8" l="1"/>
  <c r="N7" i="8" l="1"/>
  <c r="B14" i="8"/>
  <c r="N10" i="8"/>
  <c r="B9" i="13"/>
  <c r="B8" i="13" s="1"/>
  <c r="B8" i="5"/>
  <c r="D8" i="5"/>
  <c r="B370" i="4" l="1"/>
  <c r="B383" i="4" s="1"/>
  <c r="B41" i="4"/>
  <c r="O13" i="5"/>
  <c r="D41" i="4"/>
  <c r="C8" i="5"/>
  <c r="C41" i="4" s="1"/>
  <c r="P7" i="5"/>
  <c r="O15" i="5" s="1"/>
  <c r="P26" i="5" s="1"/>
  <c r="D7" i="5"/>
  <c r="L9" i="13"/>
  <c r="H9" i="5"/>
  <c r="F9" i="13"/>
  <c r="B20" i="13"/>
  <c r="B19" i="13" s="1"/>
  <c r="B17" i="13" s="1"/>
  <c r="K9" i="13"/>
  <c r="G9" i="5"/>
  <c r="D9" i="13"/>
  <c r="D5" i="5"/>
  <c r="D370" i="4"/>
  <c r="D383" i="4" s="1"/>
  <c r="L7" i="5"/>
  <c r="K34" i="5"/>
  <c r="K13" i="5"/>
  <c r="B5" i="5"/>
  <c r="K7" i="5"/>
  <c r="K35" i="5" s="1"/>
  <c r="K46" i="5" s="1"/>
  <c r="B7" i="5"/>
  <c r="C20" i="13" s="1"/>
  <c r="B19" i="5"/>
  <c r="C30" i="7"/>
  <c r="C19" i="7"/>
  <c r="B7" i="13"/>
  <c r="B5" i="13"/>
  <c r="K44" i="5"/>
  <c r="N7" i="5" l="1"/>
  <c r="M15" i="5" s="1"/>
  <c r="N26" i="5" s="1"/>
  <c r="N56" i="5" s="1"/>
  <c r="P56" i="5"/>
  <c r="P31" i="5"/>
  <c r="O34" i="5"/>
  <c r="O44" i="5"/>
  <c r="O17" i="5"/>
  <c r="M34" i="5"/>
  <c r="M44" i="5"/>
  <c r="N31" i="5"/>
  <c r="H8" i="5"/>
  <c r="M13" i="5"/>
  <c r="K56" i="5"/>
  <c r="L59" i="5" s="1"/>
  <c r="B37" i="2" s="1"/>
  <c r="C5" i="5"/>
  <c r="G5" i="5" s="1"/>
  <c r="G8" i="5"/>
  <c r="L8" i="13"/>
  <c r="K8" i="13"/>
  <c r="C7" i="5"/>
  <c r="G7" i="5" s="1"/>
  <c r="C370" i="4"/>
  <c r="C383" i="4" s="1"/>
  <c r="K37" i="5"/>
  <c r="K52" i="5"/>
  <c r="F19" i="7"/>
  <c r="F26" i="7" s="1"/>
  <c r="C32" i="7" s="1"/>
  <c r="C33" i="7" s="1"/>
  <c r="C34" i="7" s="1"/>
  <c r="B42" i="4" s="1"/>
  <c r="F8" i="13"/>
  <c r="J9" i="13"/>
  <c r="C19" i="13"/>
  <c r="B17" i="5"/>
  <c r="B40" i="5" s="1"/>
  <c r="B363" i="4" s="1"/>
  <c r="B312" i="4"/>
  <c r="B297" i="4"/>
  <c r="B40" i="13"/>
  <c r="B42" i="13"/>
  <c r="C30" i="13"/>
  <c r="C29" i="13"/>
  <c r="C24" i="13"/>
  <c r="C34" i="13"/>
  <c r="C31" i="13"/>
  <c r="C33" i="13"/>
  <c r="C28" i="13"/>
  <c r="C37" i="13"/>
  <c r="C21" i="13"/>
  <c r="C26" i="13"/>
  <c r="B39" i="5"/>
  <c r="C22" i="13"/>
  <c r="C35" i="13"/>
  <c r="B305" i="4"/>
  <c r="B323" i="4"/>
  <c r="B374" i="4"/>
  <c r="I9" i="13"/>
  <c r="D8" i="13"/>
  <c r="C52" i="8"/>
  <c r="E26" i="5"/>
  <c r="E34" i="5"/>
  <c r="E22" i="5"/>
  <c r="E35" i="5"/>
  <c r="E46" i="5"/>
  <c r="E44" i="5"/>
  <c r="E24" i="5"/>
  <c r="E29" i="5"/>
  <c r="E21" i="5"/>
  <c r="E30" i="5"/>
  <c r="E37" i="5"/>
  <c r="E33" i="5"/>
  <c r="E28" i="5"/>
  <c r="E31" i="5"/>
  <c r="D305" i="4"/>
  <c r="D323" i="4"/>
  <c r="D374" i="4"/>
  <c r="K20" i="13"/>
  <c r="M7" i="5"/>
  <c r="M35" i="5" s="1"/>
  <c r="M46" i="5" s="1"/>
  <c r="G20" i="5"/>
  <c r="D20" i="13"/>
  <c r="C19" i="5"/>
  <c r="C46" i="13"/>
  <c r="C44" i="13"/>
  <c r="B39" i="13"/>
  <c r="C39" i="13" s="1"/>
  <c r="H20" i="5"/>
  <c r="E20" i="5"/>
  <c r="O7" i="5"/>
  <c r="L20" i="13"/>
  <c r="F20" i="13"/>
  <c r="D19" i="5"/>
  <c r="L8" i="5"/>
  <c r="K15" i="5"/>
  <c r="L26" i="5" s="1"/>
  <c r="M17" i="5" l="1"/>
  <c r="M20" i="5" s="1"/>
  <c r="M29" i="5" s="1"/>
  <c r="D39" i="5"/>
  <c r="E39" i="5" s="1"/>
  <c r="D17" i="5"/>
  <c r="D42" i="5" s="1"/>
  <c r="D392" i="4" s="1"/>
  <c r="N8" i="5"/>
  <c r="N9" i="5" s="1"/>
  <c r="N10" i="5" s="1"/>
  <c r="N61" i="5" s="1"/>
  <c r="M62" i="5" s="1"/>
  <c r="M56" i="5"/>
  <c r="N59" i="5" s="1"/>
  <c r="M60" i="5" s="1"/>
  <c r="C323" i="4"/>
  <c r="H7" i="5"/>
  <c r="P8" i="5"/>
  <c r="P9" i="5" s="1"/>
  <c r="P10" i="5" s="1"/>
  <c r="P61" i="5" s="1"/>
  <c r="O62" i="5" s="1"/>
  <c r="O35" i="5"/>
  <c r="O46" i="5" s="1"/>
  <c r="O20" i="5"/>
  <c r="O29" i="5" s="1"/>
  <c r="M52" i="5"/>
  <c r="M37" i="5"/>
  <c r="B37" i="11"/>
  <c r="H5" i="5"/>
  <c r="K40" i="5"/>
  <c r="K41" i="5" s="1"/>
  <c r="L48" i="5" s="1"/>
  <c r="K60" i="5"/>
  <c r="L56" i="5"/>
  <c r="C305" i="4"/>
  <c r="K7" i="13"/>
  <c r="L7" i="13"/>
  <c r="C374" i="4"/>
  <c r="B41" i="5"/>
  <c r="L9" i="5"/>
  <c r="L10" i="5" s="1"/>
  <c r="L61" i="5" s="1"/>
  <c r="L63" i="5" s="1"/>
  <c r="I8" i="13"/>
  <c r="D5" i="13"/>
  <c r="D7" i="13"/>
  <c r="E20" i="13" s="1"/>
  <c r="K17" i="5"/>
  <c r="K20" i="5" s="1"/>
  <c r="F7" i="13"/>
  <c r="G20" i="13" s="1"/>
  <c r="J8" i="13"/>
  <c r="F5" i="13"/>
  <c r="G19" i="5"/>
  <c r="C17" i="5"/>
  <c r="K19" i="13"/>
  <c r="C312" i="4"/>
  <c r="C297" i="4"/>
  <c r="J20" i="13"/>
  <c r="F19" i="13"/>
  <c r="I20" i="13"/>
  <c r="D19" i="13"/>
  <c r="C39" i="5"/>
  <c r="D52" i="8"/>
  <c r="E52" i="8" s="1"/>
  <c r="F52" i="8" s="1"/>
  <c r="G52" i="8" s="1"/>
  <c r="H52" i="8" s="1"/>
  <c r="I52" i="8" s="1"/>
  <c r="J52" i="8" s="1"/>
  <c r="K52" i="8" s="1"/>
  <c r="L52" i="8" s="1"/>
  <c r="M52" i="8" s="1"/>
  <c r="C42" i="13"/>
  <c r="B16" i="4"/>
  <c r="B17" i="4"/>
  <c r="B375" i="4"/>
  <c r="B377" i="4" s="1"/>
  <c r="B58" i="4" s="1"/>
  <c r="F27" i="7"/>
  <c r="H19" i="5"/>
  <c r="L19" i="13"/>
  <c r="E19" i="5"/>
  <c r="D312" i="4"/>
  <c r="D297" i="4"/>
  <c r="C17" i="13"/>
  <c r="B42" i="5"/>
  <c r="B392" i="4" s="1"/>
  <c r="L31" i="5"/>
  <c r="B41" i="13"/>
  <c r="C41" i="13" s="1"/>
  <c r="C40" i="13"/>
  <c r="B324" i="4"/>
  <c r="B325" i="4" s="1"/>
  <c r="B313" i="4"/>
  <c r="L39" i="13" l="1"/>
  <c r="B390" i="4"/>
  <c r="B256" i="4"/>
  <c r="D37" i="2"/>
  <c r="O56" i="5"/>
  <c r="P59" i="5" s="1"/>
  <c r="P63" i="5" s="1"/>
  <c r="O52" i="5"/>
  <c r="O21" i="5"/>
  <c r="O28" i="5" s="1"/>
  <c r="O37" i="5"/>
  <c r="O40" i="5" s="1"/>
  <c r="P50" i="5" s="1"/>
  <c r="M63" i="5"/>
  <c r="N63" i="5"/>
  <c r="M40" i="5"/>
  <c r="N50" i="5" s="1"/>
  <c r="M21" i="5"/>
  <c r="M28" i="5" s="1"/>
  <c r="K62" i="5"/>
  <c r="B51" i="12" s="1"/>
  <c r="E23" i="8"/>
  <c r="L50" i="5"/>
  <c r="K17" i="13"/>
  <c r="G17" i="5"/>
  <c r="C42" i="5"/>
  <c r="C392" i="4" s="1"/>
  <c r="C40" i="5"/>
  <c r="C363" i="4" s="1"/>
  <c r="B283" i="4"/>
  <c r="E17" i="5"/>
  <c r="L17" i="13"/>
  <c r="H17" i="5"/>
  <c r="D40" i="5"/>
  <c r="D363" i="4" s="1"/>
  <c r="J5" i="13"/>
  <c r="E34" i="13"/>
  <c r="E30" i="13"/>
  <c r="E33" i="13"/>
  <c r="E31" i="13"/>
  <c r="E37" i="13"/>
  <c r="E26" i="13"/>
  <c r="E44" i="13"/>
  <c r="E24" i="13"/>
  <c r="E21" i="13"/>
  <c r="E28" i="13"/>
  <c r="E46" i="13"/>
  <c r="E29" i="13"/>
  <c r="I7" i="13"/>
  <c r="E35" i="13"/>
  <c r="E22" i="13"/>
  <c r="D39" i="13"/>
  <c r="H39" i="5"/>
  <c r="B369" i="4"/>
  <c r="B371" i="4" s="1"/>
  <c r="B56" i="4" s="1"/>
  <c r="B381" i="4"/>
  <c r="B372" i="4"/>
  <c r="B57" i="4" s="1"/>
  <c r="D16" i="4"/>
  <c r="D17" i="4"/>
  <c r="N52" i="8"/>
  <c r="G19" i="13"/>
  <c r="J19" i="13"/>
  <c r="F17" i="13"/>
  <c r="F40" i="13" s="1"/>
  <c r="C16" i="4"/>
  <c r="C17" i="4"/>
  <c r="I5" i="13"/>
  <c r="B43" i="4"/>
  <c r="B331" i="4"/>
  <c r="B46" i="4" s="1"/>
  <c r="B326" i="4"/>
  <c r="B44" i="4" s="1"/>
  <c r="B333" i="4"/>
  <c r="B47" i="4" s="1"/>
  <c r="B341" i="4"/>
  <c r="B50" i="4" s="1"/>
  <c r="D17" i="13"/>
  <c r="D40" i="13" s="1"/>
  <c r="I19" i="13"/>
  <c r="E19" i="13"/>
  <c r="G26" i="13"/>
  <c r="J7" i="13"/>
  <c r="G33" i="13"/>
  <c r="G21" i="13"/>
  <c r="G37" i="13"/>
  <c r="G28" i="13"/>
  <c r="G31" i="13"/>
  <c r="G30" i="13"/>
  <c r="G22" i="13"/>
  <c r="G46" i="13"/>
  <c r="G29" i="13"/>
  <c r="G24" i="13"/>
  <c r="G34" i="13"/>
  <c r="G35" i="13"/>
  <c r="F39" i="13"/>
  <c r="G44" i="13"/>
  <c r="C324" i="4"/>
  <c r="C325" i="4" s="1"/>
  <c r="C313" i="4"/>
  <c r="K29" i="5"/>
  <c r="D324" i="4"/>
  <c r="D325" i="4" s="1"/>
  <c r="D313" i="4"/>
  <c r="K39" i="13"/>
  <c r="G39" i="5"/>
  <c r="D51" i="12" l="1"/>
  <c r="H23" i="8"/>
  <c r="K23" i="8" s="1"/>
  <c r="N23" i="8" s="1"/>
  <c r="F37" i="2"/>
  <c r="F37" i="11" s="1"/>
  <c r="D37" i="11"/>
  <c r="I37" i="2"/>
  <c r="B51" i="8"/>
  <c r="M31" i="5"/>
  <c r="D34" i="2"/>
  <c r="O60" i="5"/>
  <c r="O31" i="5"/>
  <c r="F34" i="2"/>
  <c r="E54" i="8"/>
  <c r="O41" i="5"/>
  <c r="P48" i="5" s="1"/>
  <c r="M41" i="5"/>
  <c r="N48" i="5" s="1"/>
  <c r="K63" i="5"/>
  <c r="B20" i="8"/>
  <c r="B47" i="12"/>
  <c r="B311" i="4"/>
  <c r="B314" i="4" s="1"/>
  <c r="B19" i="4" s="1"/>
  <c r="B45" i="3"/>
  <c r="L52" i="5"/>
  <c r="B79" i="4"/>
  <c r="C9" i="8"/>
  <c r="K21" i="5"/>
  <c r="K28" i="5" s="1"/>
  <c r="J40" i="13"/>
  <c r="G40" i="13"/>
  <c r="F41" i="13"/>
  <c r="I39" i="13"/>
  <c r="E39" i="13"/>
  <c r="D41" i="5"/>
  <c r="E40" i="5"/>
  <c r="L40" i="13"/>
  <c r="H40" i="5"/>
  <c r="D43" i="4"/>
  <c r="D333" i="4"/>
  <c r="D47" i="4" s="1"/>
  <c r="D326" i="4"/>
  <c r="D44" i="4" s="1"/>
  <c r="D341" i="4"/>
  <c r="D50" i="4" s="1"/>
  <c r="D331" i="4"/>
  <c r="D46" i="4" s="1"/>
  <c r="J39" i="13"/>
  <c r="G39" i="13"/>
  <c r="E17" i="13"/>
  <c r="I17" i="13"/>
  <c r="C43" i="4"/>
  <c r="C326" i="4"/>
  <c r="C44" i="4" s="1"/>
  <c r="C333" i="4"/>
  <c r="C47" i="4" s="1"/>
  <c r="C331" i="4"/>
  <c r="C46" i="4" s="1"/>
  <c r="C341" i="4"/>
  <c r="C50" i="4" s="1"/>
  <c r="D42" i="13"/>
  <c r="J17" i="13"/>
  <c r="G17" i="13"/>
  <c r="F42" i="13"/>
  <c r="G40" i="5"/>
  <c r="C41" i="5"/>
  <c r="K40" i="13"/>
  <c r="E40" i="13"/>
  <c r="I40" i="13"/>
  <c r="D41" i="13"/>
  <c r="H42" i="5"/>
  <c r="L42" i="13"/>
  <c r="E42" i="5"/>
  <c r="D381" i="4"/>
  <c r="D369" i="4"/>
  <c r="D371" i="4" s="1"/>
  <c r="D56" i="4" s="1"/>
  <c r="D372" i="4"/>
  <c r="D57" i="4" s="1"/>
  <c r="G42" i="5"/>
  <c r="K42" i="13"/>
  <c r="C372" i="4"/>
  <c r="C57" i="4" s="1"/>
  <c r="C369" i="4"/>
  <c r="C371" i="4" s="1"/>
  <c r="C56" i="4" s="1"/>
  <c r="C381" i="4"/>
  <c r="C390" i="4" l="1"/>
  <c r="C256" i="4"/>
  <c r="D390" i="4"/>
  <c r="D256" i="4"/>
  <c r="K51" i="12"/>
  <c r="I51" i="12"/>
  <c r="H54" i="8"/>
  <c r="K54" i="8" s="1"/>
  <c r="J37" i="2"/>
  <c r="C51" i="8"/>
  <c r="K37" i="11"/>
  <c r="I37" i="11"/>
  <c r="P52" i="5"/>
  <c r="L37" i="11"/>
  <c r="J37" i="11"/>
  <c r="D79" i="4"/>
  <c r="C304" i="4"/>
  <c r="C307" i="4" s="1"/>
  <c r="D35" i="11"/>
  <c r="O63" i="5"/>
  <c r="F51" i="12"/>
  <c r="N52" i="5"/>
  <c r="J35" i="2"/>
  <c r="F35" i="11"/>
  <c r="C20" i="8"/>
  <c r="B46" i="12"/>
  <c r="C14" i="8"/>
  <c r="D9" i="8"/>
  <c r="K31" i="5"/>
  <c r="E41" i="13"/>
  <c r="I41" i="13"/>
  <c r="K41" i="13"/>
  <c r="G41" i="5"/>
  <c r="C283" i="4"/>
  <c r="G41" i="13"/>
  <c r="J41" i="13"/>
  <c r="J42" i="13"/>
  <c r="G42" i="13"/>
  <c r="E42" i="13"/>
  <c r="I42" i="13"/>
  <c r="L41" i="13"/>
  <c r="E41" i="5"/>
  <c r="D283" i="4"/>
  <c r="H41" i="5"/>
  <c r="C79" i="4" l="1"/>
  <c r="B34" i="2"/>
  <c r="J51" i="12"/>
  <c r="L51" i="12"/>
  <c r="N54" i="8"/>
  <c r="C18" i="4"/>
  <c r="D51" i="8"/>
  <c r="E51" i="8" s="1"/>
  <c r="D384" i="4"/>
  <c r="D158" i="4"/>
  <c r="D304" i="4"/>
  <c r="D307" i="4" s="1"/>
  <c r="J34" i="2"/>
  <c r="C114" i="4" s="1"/>
  <c r="C384" i="4"/>
  <c r="C158" i="4"/>
  <c r="F47" i="12"/>
  <c r="F45" i="3"/>
  <c r="D311" i="4"/>
  <c r="D314" i="4" s="1"/>
  <c r="D19" i="4" s="1"/>
  <c r="J46" i="3"/>
  <c r="L46" i="3"/>
  <c r="J35" i="11"/>
  <c r="D34" i="11"/>
  <c r="D47" i="12"/>
  <c r="D45" i="3"/>
  <c r="C311" i="4"/>
  <c r="C314" i="4" s="1"/>
  <c r="C19" i="4" s="1"/>
  <c r="I46" i="3"/>
  <c r="K46" i="3"/>
  <c r="F34" i="11"/>
  <c r="L35" i="11"/>
  <c r="C209" i="4" s="1"/>
  <c r="C212" i="4" s="1"/>
  <c r="D20" i="8"/>
  <c r="I35" i="2"/>
  <c r="B35" i="11"/>
  <c r="B304" i="4"/>
  <c r="B307" i="4" s="1"/>
  <c r="D14" i="8"/>
  <c r="E9" i="8"/>
  <c r="C20" i="4" l="1"/>
  <c r="D18" i="4"/>
  <c r="D20" i="4" s="1"/>
  <c r="D316" i="4"/>
  <c r="C316" i="4"/>
  <c r="B18" i="4"/>
  <c r="B20" i="4" s="1"/>
  <c r="B316" i="4"/>
  <c r="L34" i="11"/>
  <c r="D46" i="12"/>
  <c r="K47" i="12"/>
  <c r="I47" i="12"/>
  <c r="J34" i="11"/>
  <c r="C386" i="4"/>
  <c r="C60" i="4" s="1"/>
  <c r="C385" i="4"/>
  <c r="C59" i="4" s="1"/>
  <c r="J47" i="12"/>
  <c r="L47" i="12"/>
  <c r="F46" i="12"/>
  <c r="I45" i="3"/>
  <c r="K45" i="3"/>
  <c r="L45" i="3"/>
  <c r="J45" i="3"/>
  <c r="D386" i="4"/>
  <c r="D60" i="4" s="1"/>
  <c r="D385" i="4"/>
  <c r="D59" i="4" s="1"/>
  <c r="E20" i="8"/>
  <c r="F9" i="8"/>
  <c r="E14" i="8"/>
  <c r="B384" i="4"/>
  <c r="I34" i="2"/>
  <c r="B114" i="4" s="1"/>
  <c r="B158" i="4"/>
  <c r="K35" i="11"/>
  <c r="B209" i="4" s="1"/>
  <c r="B212" i="4" s="1"/>
  <c r="I35" i="11"/>
  <c r="B34" i="11"/>
  <c r="F51" i="8"/>
  <c r="J46" i="12" l="1"/>
  <c r="L46" i="12"/>
  <c r="C197" i="4" s="1"/>
  <c r="K46" i="12"/>
  <c r="B197" i="4" s="1"/>
  <c r="I46" i="12"/>
  <c r="F20" i="8"/>
  <c r="B386" i="4"/>
  <c r="B60" i="4" s="1"/>
  <c r="B385" i="4"/>
  <c r="B59" i="4" s="1"/>
  <c r="F14" i="8"/>
  <c r="G9" i="8"/>
  <c r="K34" i="11"/>
  <c r="I34" i="11"/>
  <c r="G51" i="8"/>
  <c r="G20" i="8" l="1"/>
  <c r="G14" i="8"/>
  <c r="H9" i="8"/>
  <c r="H51" i="8"/>
  <c r="H20" i="8" l="1"/>
  <c r="H14" i="8"/>
  <c r="I9" i="8"/>
  <c r="I51" i="8"/>
  <c r="I20" i="8" l="1"/>
  <c r="I14" i="8"/>
  <c r="J9" i="8"/>
  <c r="J51" i="8"/>
  <c r="J20" i="8" l="1"/>
  <c r="K9" i="8"/>
  <c r="J14" i="8"/>
  <c r="K51" i="8"/>
  <c r="K20" i="8" l="1"/>
  <c r="L9" i="8"/>
  <c r="K14" i="8"/>
  <c r="L51" i="8"/>
  <c r="L20" i="8" l="1"/>
  <c r="M9" i="8"/>
  <c r="L14" i="8"/>
  <c r="M51" i="8"/>
  <c r="M20" i="8" l="1"/>
  <c r="M14" i="8"/>
  <c r="B39" i="8"/>
  <c r="N9" i="8"/>
  <c r="N14" i="8" s="1"/>
  <c r="N51" i="8"/>
  <c r="N20" i="8" l="1"/>
  <c r="B44" i="8"/>
  <c r="C39" i="8"/>
  <c r="C44" i="8" l="1"/>
  <c r="D39" i="8"/>
  <c r="D44" i="8" l="1"/>
  <c r="E39" i="8"/>
  <c r="F39" i="8" l="1"/>
  <c r="E44" i="8"/>
  <c r="F44" i="8" l="1"/>
  <c r="G39" i="8"/>
  <c r="G44" i="8" l="1"/>
  <c r="H39" i="8"/>
  <c r="H44" i="8" l="1"/>
  <c r="I39" i="8"/>
  <c r="J39" i="8" l="1"/>
  <c r="I44" i="8"/>
  <c r="J44" i="8" l="1"/>
  <c r="K39" i="8"/>
  <c r="K44" i="8" l="1"/>
  <c r="L39" i="8"/>
  <c r="M39" i="8" l="1"/>
  <c r="M44" i="8" s="1"/>
  <c r="L44" i="8"/>
  <c r="N39" i="8" l="1"/>
  <c r="N44" i="8" s="1"/>
  <c r="F14" i="17"/>
  <c r="G14" i="17" l="1"/>
  <c r="C15" i="17" s="1"/>
  <c r="E15" i="17" s="1"/>
  <c r="F15" i="17" l="1"/>
  <c r="G15" i="17" l="1"/>
  <c r="C16" i="17" s="1"/>
  <c r="E16" i="17" l="1"/>
  <c r="F16" i="17" l="1"/>
  <c r="G16" i="17" l="1"/>
  <c r="C17" i="17" s="1"/>
  <c r="E17" i="17" l="1"/>
  <c r="F17" i="17" l="1"/>
  <c r="G17" i="17" l="1"/>
  <c r="C18" i="17" s="1"/>
  <c r="E18" i="17" l="1"/>
  <c r="F18" i="17" l="1"/>
  <c r="G18" i="17" s="1"/>
  <c r="C19" i="17" s="1"/>
  <c r="E19" i="17" l="1"/>
  <c r="F19" i="17" l="1"/>
  <c r="G19" i="17" s="1"/>
  <c r="C20" i="17" s="1"/>
  <c r="E20" i="17" l="1"/>
  <c r="F20" i="17" s="1"/>
  <c r="G20" i="17" s="1"/>
  <c r="C21" i="17" s="1"/>
  <c r="E21" i="17" s="1"/>
  <c r="F21" i="17" l="1"/>
  <c r="G21" i="17" s="1"/>
  <c r="C22" i="17" s="1"/>
  <c r="E22" i="17" l="1"/>
  <c r="F22" i="17" s="1"/>
  <c r="G22" i="17" s="1"/>
  <c r="C23" i="17" s="1"/>
  <c r="E23" i="17" l="1"/>
  <c r="F23" i="17" s="1"/>
  <c r="G23" i="17" s="1"/>
  <c r="C24" i="17" s="1"/>
  <c r="E24" i="17" l="1"/>
  <c r="B89" i="4" s="1"/>
  <c r="B26" i="8" s="1"/>
  <c r="C26" i="8" l="1"/>
  <c r="D26" i="8" s="1"/>
  <c r="E26" i="8" s="1"/>
  <c r="F26" i="8" s="1"/>
  <c r="G26" i="8" s="1"/>
  <c r="H26" i="8" s="1"/>
  <c r="I26" i="8" s="1"/>
  <c r="J26" i="8" s="1"/>
  <c r="K26" i="8" s="1"/>
  <c r="L26" i="8" s="1"/>
  <c r="M26" i="8" s="1"/>
  <c r="N26" i="8"/>
  <c r="F24" i="17"/>
  <c r="B82" i="4" s="1"/>
  <c r="B17" i="8" l="1"/>
  <c r="B92" i="4"/>
  <c r="B93" i="4" s="1"/>
  <c r="B94" i="4" s="1"/>
  <c r="G24" i="17"/>
  <c r="C25" i="17" s="1"/>
  <c r="E25" i="17" s="1"/>
  <c r="L13" i="17"/>
  <c r="J44" i="17" l="1"/>
  <c r="B56" i="3" s="1"/>
  <c r="F25" i="17"/>
  <c r="B40" i="2"/>
  <c r="C17" i="8"/>
  <c r="B29" i="8"/>
  <c r="B30" i="8" s="1"/>
  <c r="B31" i="8" s="1"/>
  <c r="K13" i="17"/>
  <c r="B45" i="5" s="1"/>
  <c r="C24" i="7" l="1"/>
  <c r="B45" i="13"/>
  <c r="B334" i="4"/>
  <c r="B335" i="4" s="1"/>
  <c r="B48" i="4" s="1"/>
  <c r="B270" i="4"/>
  <c r="B347" i="4" s="1"/>
  <c r="B48" i="5"/>
  <c r="D17" i="8"/>
  <c r="C29" i="8"/>
  <c r="C30" i="8" s="1"/>
  <c r="C31" i="8" s="1"/>
  <c r="B40" i="11"/>
  <c r="B39" i="2"/>
  <c r="G25" i="17"/>
  <c r="C26" i="17" s="1"/>
  <c r="E26" i="17" s="1"/>
  <c r="F26" i="17" s="1"/>
  <c r="B57" i="12"/>
  <c r="B247" i="4" l="1"/>
  <c r="B26" i="2"/>
  <c r="B179" i="4"/>
  <c r="B168" i="4"/>
  <c r="E17" i="8"/>
  <c r="D29" i="8"/>
  <c r="D30" i="8" s="1"/>
  <c r="D31" i="8" s="1"/>
  <c r="B39" i="11"/>
  <c r="B364" i="4"/>
  <c r="B365" i="4" s="1"/>
  <c r="B55" i="4" s="1"/>
  <c r="B52" i="5"/>
  <c r="B349" i="4"/>
  <c r="B269" i="4"/>
  <c r="B271" i="4" s="1"/>
  <c r="B36" i="4" s="1"/>
  <c r="C45" i="13"/>
  <c r="B48" i="13"/>
  <c r="E24" i="7"/>
  <c r="C26" i="7"/>
  <c r="G26" i="17"/>
  <c r="C27" i="17" s="1"/>
  <c r="D63" i="18" l="1"/>
  <c r="D64" i="18" s="1"/>
  <c r="C65" i="18" s="1"/>
  <c r="C90" i="4"/>
  <c r="B52" i="13"/>
  <c r="C52" i="13" s="1"/>
  <c r="B336" i="4"/>
  <c r="B337" i="4" s="1"/>
  <c r="B49" i="4" s="1"/>
  <c r="B49" i="3"/>
  <c r="B26" i="11"/>
  <c r="F17" i="8"/>
  <c r="E29" i="8"/>
  <c r="E30" i="8" s="1"/>
  <c r="E31" i="8" s="1"/>
  <c r="C48" i="13"/>
  <c r="B54" i="13"/>
  <c r="B44" i="2"/>
  <c r="C26" i="2" s="1"/>
  <c r="B153" i="4"/>
  <c r="B54" i="5"/>
  <c r="E27" i="17"/>
  <c r="G17" i="8" l="1"/>
  <c r="F29" i="8"/>
  <c r="F30" i="8" s="1"/>
  <c r="F31" i="8" s="1"/>
  <c r="B48" i="3"/>
  <c r="B50" i="12"/>
  <c r="C54" i="13"/>
  <c r="B59" i="13"/>
  <c r="C59" i="13" s="1"/>
  <c r="B44" i="11"/>
  <c r="C26" i="11" s="1"/>
  <c r="B59" i="5"/>
  <c r="B19" i="3"/>
  <c r="C10" i="2"/>
  <c r="C35" i="2"/>
  <c r="C8" i="2"/>
  <c r="C12" i="2"/>
  <c r="C28" i="2"/>
  <c r="B391" i="4"/>
  <c r="C32" i="2"/>
  <c r="C31" i="2"/>
  <c r="C19" i="2"/>
  <c r="E19" i="2" s="1"/>
  <c r="C17" i="2"/>
  <c r="C22" i="2"/>
  <c r="C15" i="2"/>
  <c r="C20" i="2"/>
  <c r="C37" i="2"/>
  <c r="C13" i="2"/>
  <c r="C18" i="2"/>
  <c r="E18" i="2" s="1"/>
  <c r="C42" i="2"/>
  <c r="C30" i="2"/>
  <c r="C24" i="2"/>
  <c r="C21" i="2"/>
  <c r="B360" i="4"/>
  <c r="C34" i="2"/>
  <c r="C6" i="2"/>
  <c r="C40" i="2"/>
  <c r="C39" i="2"/>
  <c r="C95" i="4"/>
  <c r="C73" i="18"/>
  <c r="F27" i="17"/>
  <c r="B66" i="5" l="1"/>
  <c r="B68" i="5" s="1"/>
  <c r="B71" i="5" s="1"/>
  <c r="B348" i="4"/>
  <c r="B394" i="4"/>
  <c r="B62" i="4" s="1"/>
  <c r="B393" i="4"/>
  <c r="B61" i="4" s="1"/>
  <c r="B20" i="12"/>
  <c r="B263" i="4"/>
  <c r="B6" i="3"/>
  <c r="B159" i="4"/>
  <c r="B160" i="4" s="1"/>
  <c r="C31" i="11"/>
  <c r="C12" i="11"/>
  <c r="C10" i="11"/>
  <c r="C34" i="11"/>
  <c r="C30" i="11"/>
  <c r="C37" i="11"/>
  <c r="C42" i="11"/>
  <c r="C8" i="11"/>
  <c r="C22" i="11"/>
  <c r="C13" i="11"/>
  <c r="C20" i="11"/>
  <c r="C19" i="11"/>
  <c r="C28" i="11"/>
  <c r="C15" i="11"/>
  <c r="C24" i="11"/>
  <c r="C21" i="11"/>
  <c r="C18" i="11"/>
  <c r="C6" i="11"/>
  <c r="C36" i="11"/>
  <c r="C35" i="11"/>
  <c r="C17" i="11"/>
  <c r="C32" i="11"/>
  <c r="C40" i="11"/>
  <c r="C39" i="11"/>
  <c r="B49" i="12"/>
  <c r="H17" i="8"/>
  <c r="G29" i="8"/>
  <c r="G30" i="8" s="1"/>
  <c r="G31" i="8" s="1"/>
  <c r="G27" i="17"/>
  <c r="C28" i="17" s="1"/>
  <c r="I17" i="8" l="1"/>
  <c r="H29" i="8"/>
  <c r="H30" i="8" s="1"/>
  <c r="H31" i="8" s="1"/>
  <c r="B161" i="4"/>
  <c r="B165" i="4"/>
  <c r="B178" i="4"/>
  <c r="B180" i="4" s="1"/>
  <c r="B13" i="4"/>
  <c r="B145" i="4"/>
  <c r="B227" i="4"/>
  <c r="B182" i="4"/>
  <c r="B7" i="12"/>
  <c r="B75" i="5"/>
  <c r="C67" i="5"/>
  <c r="E28" i="17"/>
  <c r="B345" i="4" l="1"/>
  <c r="B252" i="4"/>
  <c r="J17" i="8"/>
  <c r="I29" i="8"/>
  <c r="I30" i="8" s="1"/>
  <c r="I31" i="8" s="1"/>
  <c r="F28" i="17"/>
  <c r="B359" i="4" l="1"/>
  <c r="B361" i="4" s="1"/>
  <c r="B54" i="4" s="1"/>
  <c r="B350" i="4"/>
  <c r="B51" i="4" s="1"/>
  <c r="K17" i="8"/>
  <c r="J29" i="8"/>
  <c r="J30" i="8" s="1"/>
  <c r="J31" i="8" s="1"/>
  <c r="G28" i="17"/>
  <c r="C29" i="17" s="1"/>
  <c r="L17" i="8" l="1"/>
  <c r="K29" i="8"/>
  <c r="K30" i="8" s="1"/>
  <c r="K31" i="8" s="1"/>
  <c r="E29" i="17"/>
  <c r="M17" i="8" l="1"/>
  <c r="L29" i="8"/>
  <c r="L30" i="8" s="1"/>
  <c r="L31" i="8" s="1"/>
  <c r="F29" i="17"/>
  <c r="G29" i="17" s="1"/>
  <c r="C30" i="17" s="1"/>
  <c r="M29" i="8" l="1"/>
  <c r="M30" i="8" s="1"/>
  <c r="M31" i="8" s="1"/>
  <c r="N17" i="8"/>
  <c r="N29" i="8" s="1"/>
  <c r="N30" i="8" s="1"/>
  <c r="E30" i="17"/>
  <c r="F30" i="17" l="1"/>
  <c r="G30" i="17" s="1"/>
  <c r="C31" i="17" s="1"/>
  <c r="E31" i="17" l="1"/>
  <c r="F31" i="17" s="1"/>
  <c r="G31" i="17" s="1"/>
  <c r="C32" i="17" s="1"/>
  <c r="E32" i="17" l="1"/>
  <c r="F32" i="17" s="1"/>
  <c r="G32" i="17"/>
  <c r="C33" i="17" s="1"/>
  <c r="E33" i="17" l="1"/>
  <c r="F33" i="17" s="1"/>
  <c r="G33" i="17" s="1"/>
  <c r="C34" i="17" s="1"/>
  <c r="E34" i="17" l="1"/>
  <c r="F34" i="17" s="1"/>
  <c r="G34" i="17" s="1"/>
  <c r="C35" i="17" s="1"/>
  <c r="E35" i="17" l="1"/>
  <c r="F35" i="17" l="1"/>
  <c r="G35" i="17" s="1"/>
  <c r="C36" i="17" s="1"/>
  <c r="E36" i="17" l="1"/>
  <c r="C89" i="4" s="1"/>
  <c r="B57" i="8" s="1"/>
  <c r="C57" i="8" l="1"/>
  <c r="D57" i="8" s="1"/>
  <c r="E57" i="8" s="1"/>
  <c r="F57" i="8" s="1"/>
  <c r="G57" i="8" s="1"/>
  <c r="H57" i="8" s="1"/>
  <c r="I57" i="8" s="1"/>
  <c r="J57" i="8" s="1"/>
  <c r="K57" i="8" s="1"/>
  <c r="L57" i="8" s="1"/>
  <c r="M57" i="8" s="1"/>
  <c r="N57" i="8"/>
  <c r="F36" i="17"/>
  <c r="C82" i="4" s="1"/>
  <c r="B48" i="8" l="1"/>
  <c r="C92" i="4"/>
  <c r="C93" i="4" s="1"/>
  <c r="G36" i="17"/>
  <c r="C37" i="17" s="1"/>
  <c r="E37" i="17" s="1"/>
  <c r="K14" i="17" s="1"/>
  <c r="C45" i="5" s="1"/>
  <c r="L14" i="17"/>
  <c r="F37" i="17"/>
  <c r="K45" i="13" l="1"/>
  <c r="D45" i="13"/>
  <c r="C270" i="4"/>
  <c r="C347" i="4" s="1"/>
  <c r="C334" i="4"/>
  <c r="C335" i="4" s="1"/>
  <c r="C48" i="4" s="1"/>
  <c r="B103" i="4"/>
  <c r="B135" i="4" s="1"/>
  <c r="G45" i="5"/>
  <c r="C48" i="5"/>
  <c r="J45" i="17"/>
  <c r="D56" i="3" s="1"/>
  <c r="G37" i="17"/>
  <c r="C38" i="17" s="1"/>
  <c r="E38" i="17" s="1"/>
  <c r="F38" i="17" s="1"/>
  <c r="G38" i="17" s="1"/>
  <c r="C39" i="17" s="1"/>
  <c r="E39" i="17" s="1"/>
  <c r="K25" i="17"/>
  <c r="B38" i="3" s="1"/>
  <c r="J25" i="17"/>
  <c r="B139" i="4"/>
  <c r="C94" i="4"/>
  <c r="C48" i="8"/>
  <c r="B60" i="8"/>
  <c r="B61" i="8" s="1"/>
  <c r="B62" i="8" s="1"/>
  <c r="F39" i="17" l="1"/>
  <c r="G39" i="17" s="1"/>
  <c r="C40" i="17" s="1"/>
  <c r="D57" i="12"/>
  <c r="K56" i="3"/>
  <c r="I56" i="3"/>
  <c r="B37" i="3"/>
  <c r="B39" i="12"/>
  <c r="D48" i="8"/>
  <c r="C60" i="8"/>
  <c r="C61" i="8" s="1"/>
  <c r="C62" i="8" s="1"/>
  <c r="D40" i="2"/>
  <c r="I45" i="13"/>
  <c r="E45" i="13"/>
  <c r="D48" i="13"/>
  <c r="K48" i="13"/>
  <c r="B100" i="4"/>
  <c r="B105" i="4" s="1"/>
  <c r="C364" i="4"/>
  <c r="C365" i="4" s="1"/>
  <c r="C55" i="4" s="1"/>
  <c r="G48" i="5"/>
  <c r="C52" i="5"/>
  <c r="C54" i="5" s="1"/>
  <c r="C349" i="4"/>
  <c r="C269" i="4"/>
  <c r="C271" i="4" s="1"/>
  <c r="C36" i="4" s="1"/>
  <c r="B32" i="3"/>
  <c r="E40" i="17"/>
  <c r="F40" i="17" s="1"/>
  <c r="G40" i="17" s="1"/>
  <c r="C41" i="17" s="1"/>
  <c r="B183" i="4" l="1"/>
  <c r="B33" i="12"/>
  <c r="B246" i="4"/>
  <c r="B248" i="4" s="1"/>
  <c r="B30" i="3"/>
  <c r="K54" i="13"/>
  <c r="C59" i="5"/>
  <c r="G54" i="5"/>
  <c r="D72" i="18"/>
  <c r="D73" i="18" s="1"/>
  <c r="C74" i="18" s="1"/>
  <c r="D95" i="4" s="1"/>
  <c r="K52" i="13"/>
  <c r="D52" i="13"/>
  <c r="D49" i="3"/>
  <c r="B107" i="4"/>
  <c r="B111" i="4" s="1"/>
  <c r="D90" i="4"/>
  <c r="C336" i="4"/>
  <c r="C337" i="4" s="1"/>
  <c r="C49" i="4" s="1"/>
  <c r="G52" i="5"/>
  <c r="C376" i="4"/>
  <c r="C375" i="4"/>
  <c r="E48" i="8"/>
  <c r="D60" i="8"/>
  <c r="D61" i="8" s="1"/>
  <c r="D62" i="8" s="1"/>
  <c r="D39" i="2"/>
  <c r="D40" i="11"/>
  <c r="I40" i="2"/>
  <c r="B38" i="12"/>
  <c r="B184" i="4"/>
  <c r="B169" i="4"/>
  <c r="B170" i="4" s="1"/>
  <c r="B35" i="3"/>
  <c r="K57" i="12"/>
  <c r="I57" i="12"/>
  <c r="I48" i="13"/>
  <c r="E48" i="13"/>
  <c r="E41" i="17"/>
  <c r="F41" i="17" s="1"/>
  <c r="G41" i="17" s="1"/>
  <c r="C42" i="17" s="1"/>
  <c r="C377" i="4" l="1"/>
  <c r="C58" i="4" s="1"/>
  <c r="B36" i="12"/>
  <c r="C348" i="4"/>
  <c r="K59" i="13"/>
  <c r="B130" i="4"/>
  <c r="C66" i="5"/>
  <c r="C68" i="5" s="1"/>
  <c r="C71" i="5" s="1"/>
  <c r="G59" i="5"/>
  <c r="K40" i="11"/>
  <c r="I40" i="11"/>
  <c r="D39" i="11"/>
  <c r="B28" i="3"/>
  <c r="K49" i="3"/>
  <c r="D50" i="12"/>
  <c r="I49" i="3"/>
  <c r="D48" i="3"/>
  <c r="D54" i="13"/>
  <c r="E52" i="13"/>
  <c r="I52" i="13"/>
  <c r="I39" i="2"/>
  <c r="D26" i="2"/>
  <c r="C247" i="4"/>
  <c r="C168" i="4"/>
  <c r="C179" i="4"/>
  <c r="C180" i="4" s="1"/>
  <c r="F48" i="8"/>
  <c r="E60" i="8"/>
  <c r="E61" i="8" s="1"/>
  <c r="E62" i="8" s="1"/>
  <c r="B32" i="4"/>
  <c r="B255" i="4"/>
  <c r="B257" i="4" s="1"/>
  <c r="B34" i="4" s="1"/>
  <c r="B251" i="4"/>
  <c r="B31" i="12"/>
  <c r="B186" i="4"/>
  <c r="B154" i="4"/>
  <c r="B109" i="4"/>
  <c r="B276" i="4" s="1"/>
  <c r="C353" i="4" s="1"/>
  <c r="B199" i="4"/>
  <c r="E42" i="17"/>
  <c r="F42" i="17" s="1"/>
  <c r="C75" i="5" l="1"/>
  <c r="D19" i="3" s="1"/>
  <c r="D67" i="5"/>
  <c r="G48" i="8"/>
  <c r="F60" i="8"/>
  <c r="F61" i="8" s="1"/>
  <c r="F62" i="8" s="1"/>
  <c r="G42" i="17"/>
  <c r="C43" i="17" s="1"/>
  <c r="I39" i="11"/>
  <c r="K39" i="11"/>
  <c r="D26" i="11"/>
  <c r="C153" i="4"/>
  <c r="I26" i="2"/>
  <c r="D44" i="2"/>
  <c r="E26" i="2" s="1"/>
  <c r="B146" i="4"/>
  <c r="B147" i="4" s="1"/>
  <c r="B233" i="4"/>
  <c r="B226" i="4"/>
  <c r="B58" i="3"/>
  <c r="E54" i="13"/>
  <c r="I54" i="13"/>
  <c r="D59" i="13"/>
  <c r="B282" i="4"/>
  <c r="B284" i="4" s="1"/>
  <c r="B38" i="4" s="1"/>
  <c r="B253" i="4"/>
  <c r="D49" i="12"/>
  <c r="K50" i="12"/>
  <c r="I50" i="12"/>
  <c r="B156" i="4"/>
  <c r="B15" i="4" s="1"/>
  <c r="B155" i="4"/>
  <c r="B29" i="12"/>
  <c r="I48" i="3"/>
  <c r="C159" i="4"/>
  <c r="C160" i="4" s="1"/>
  <c r="K48" i="3"/>
  <c r="B115" i="4" s="1"/>
  <c r="B116" i="4" s="1"/>
  <c r="B118" i="4" s="1"/>
  <c r="E43" i="17"/>
  <c r="F43" i="17" s="1"/>
  <c r="G43" i="17" s="1"/>
  <c r="C44" i="17" s="1"/>
  <c r="B26" i="4" l="1"/>
  <c r="B33" i="4"/>
  <c r="C161" i="4"/>
  <c r="C185" i="4"/>
  <c r="C13" i="4"/>
  <c r="C165" i="4"/>
  <c r="D6" i="3"/>
  <c r="D20" i="12"/>
  <c r="I19" i="3"/>
  <c r="K19" i="3"/>
  <c r="C263" i="4"/>
  <c r="B126" i="4"/>
  <c r="C7" i="4" s="1"/>
  <c r="C6" i="4"/>
  <c r="H48" i="8"/>
  <c r="G60" i="8"/>
  <c r="G61" i="8" s="1"/>
  <c r="G62" i="8" s="1"/>
  <c r="B59" i="12"/>
  <c r="C29" i="12" s="1"/>
  <c r="E59" i="13"/>
  <c r="I59" i="13"/>
  <c r="I26" i="11"/>
  <c r="D44" i="11"/>
  <c r="K26" i="11"/>
  <c r="E26" i="11"/>
  <c r="B46" i="2"/>
  <c r="C42" i="3"/>
  <c r="C21" i="3"/>
  <c r="C46" i="3"/>
  <c r="C53" i="3"/>
  <c r="C51" i="3"/>
  <c r="C14" i="3"/>
  <c r="C31" i="3"/>
  <c r="C45" i="3"/>
  <c r="B264" i="4"/>
  <c r="B265" i="4" s="1"/>
  <c r="B35" i="4" s="1"/>
  <c r="B230" i="4"/>
  <c r="C41" i="3"/>
  <c r="C9" i="3"/>
  <c r="C17" i="3"/>
  <c r="C10" i="3"/>
  <c r="C8" i="3"/>
  <c r="B346" i="4"/>
  <c r="B351" i="4" s="1"/>
  <c r="B52" i="4" s="1"/>
  <c r="C25" i="3"/>
  <c r="C23" i="3"/>
  <c r="C43" i="3"/>
  <c r="C54" i="3"/>
  <c r="C12" i="3"/>
  <c r="C16" i="3"/>
  <c r="C15" i="3"/>
  <c r="C39" i="3"/>
  <c r="C26" i="3"/>
  <c r="C33" i="3"/>
  <c r="C56" i="3"/>
  <c r="C49" i="3"/>
  <c r="C19" i="3"/>
  <c r="C48" i="3"/>
  <c r="C6" i="3"/>
  <c r="C38" i="3"/>
  <c r="C32" i="3"/>
  <c r="C37" i="3"/>
  <c r="C35" i="3"/>
  <c r="C30" i="3"/>
  <c r="C28" i="3"/>
  <c r="B228" i="4"/>
  <c r="B24" i="4" s="1"/>
  <c r="B238" i="4"/>
  <c r="B29" i="4" s="1"/>
  <c r="B234" i="4"/>
  <c r="B27" i="4" s="1"/>
  <c r="B241" i="4"/>
  <c r="B31" i="4" s="1"/>
  <c r="B151" i="4"/>
  <c r="B150" i="4"/>
  <c r="K49" i="12"/>
  <c r="B198" i="4" s="1"/>
  <c r="B200" i="4" s="1"/>
  <c r="B213" i="4" s="1"/>
  <c r="C9" i="4" s="1"/>
  <c r="I49" i="12"/>
  <c r="C391" i="4"/>
  <c r="E35" i="2"/>
  <c r="E22" i="2"/>
  <c r="E21" i="2"/>
  <c r="E32" i="2"/>
  <c r="E15" i="2"/>
  <c r="E42" i="2"/>
  <c r="E8" i="2"/>
  <c r="C360" i="4"/>
  <c r="E24" i="2"/>
  <c r="E34" i="2"/>
  <c r="E12" i="2"/>
  <c r="E17" i="2"/>
  <c r="E6" i="2"/>
  <c r="E13" i="2"/>
  <c r="E10" i="2"/>
  <c r="E20" i="2"/>
  <c r="E37" i="2"/>
  <c r="E28" i="2"/>
  <c r="E31" i="2"/>
  <c r="I44" i="2"/>
  <c r="E30" i="2"/>
  <c r="E40" i="2"/>
  <c r="E39" i="2"/>
  <c r="E44" i="17"/>
  <c r="F44" i="17" s="1"/>
  <c r="G44" i="17" s="1"/>
  <c r="C45" i="17" s="1"/>
  <c r="E20" i="11" l="1"/>
  <c r="E8" i="11"/>
  <c r="E37" i="11"/>
  <c r="E12" i="11"/>
  <c r="E42" i="11"/>
  <c r="E18" i="11"/>
  <c r="E19" i="11"/>
  <c r="I44" i="11"/>
  <c r="E32" i="11"/>
  <c r="E36" i="11"/>
  <c r="E31" i="11"/>
  <c r="E22" i="11"/>
  <c r="E13" i="11"/>
  <c r="E30" i="11"/>
  <c r="E24" i="11"/>
  <c r="E10" i="11"/>
  <c r="K44" i="11"/>
  <c r="E34" i="11"/>
  <c r="E21" i="11"/>
  <c r="E15" i="11"/>
  <c r="E6" i="11"/>
  <c r="E28" i="11"/>
  <c r="E35" i="11"/>
  <c r="E17" i="11"/>
  <c r="E40" i="11"/>
  <c r="E39" i="11"/>
  <c r="C394" i="4"/>
  <c r="C62" i="4" s="1"/>
  <c r="C393" i="4"/>
  <c r="C61" i="4" s="1"/>
  <c r="B164" i="4"/>
  <c r="B166" i="4" s="1"/>
  <c r="B14" i="4" s="1"/>
  <c r="B12" i="4"/>
  <c r="B231" i="4"/>
  <c r="B25" i="4" s="1"/>
  <c r="B239" i="4"/>
  <c r="B30" i="4" s="1"/>
  <c r="I48" i="8"/>
  <c r="H60" i="8"/>
  <c r="H61" i="8" s="1"/>
  <c r="H62" i="8" s="1"/>
  <c r="I20" i="12"/>
  <c r="D7" i="12"/>
  <c r="K20" i="12"/>
  <c r="C44" i="12"/>
  <c r="C34" i="12"/>
  <c r="C27" i="12"/>
  <c r="C11" i="12"/>
  <c r="C22" i="12"/>
  <c r="C16" i="12"/>
  <c r="C15" i="12"/>
  <c r="C52" i="12"/>
  <c r="C17" i="12"/>
  <c r="C9" i="12"/>
  <c r="C24" i="12"/>
  <c r="C55" i="12"/>
  <c r="C43" i="12"/>
  <c r="C51" i="12"/>
  <c r="C10" i="12"/>
  <c r="C47" i="12"/>
  <c r="C46" i="12"/>
  <c r="C26" i="12"/>
  <c r="C54" i="12"/>
  <c r="C40" i="12"/>
  <c r="C42" i="12"/>
  <c r="C32" i="12"/>
  <c r="C18" i="12"/>
  <c r="C13" i="12"/>
  <c r="C57" i="12"/>
  <c r="C50" i="12"/>
  <c r="C20" i="12"/>
  <c r="C49" i="12"/>
  <c r="C7" i="12"/>
  <c r="C39" i="12"/>
  <c r="C38" i="12"/>
  <c r="C33" i="12"/>
  <c r="C36" i="12"/>
  <c r="C31" i="12"/>
  <c r="K6" i="3"/>
  <c r="B129" i="4" s="1"/>
  <c r="I6" i="3"/>
  <c r="C145" i="4"/>
  <c r="C182" i="4"/>
  <c r="C227" i="4"/>
  <c r="E45" i="17"/>
  <c r="F45" i="17" s="1"/>
  <c r="G45" i="17" s="1"/>
  <c r="C46" i="17" s="1"/>
  <c r="C345" i="4" l="1"/>
  <c r="C252" i="4"/>
  <c r="K7" i="12"/>
  <c r="I7" i="12"/>
  <c r="J48" i="8"/>
  <c r="I60" i="8"/>
  <c r="I61" i="8" s="1"/>
  <c r="I62" i="8" s="1"/>
  <c r="E46" i="17"/>
  <c r="F46" i="17" s="1"/>
  <c r="G46" i="17" s="1"/>
  <c r="C47" i="17" s="1"/>
  <c r="K48" i="8" l="1"/>
  <c r="J60" i="8"/>
  <c r="J61" i="8" s="1"/>
  <c r="J62" i="8" s="1"/>
  <c r="C354" i="4"/>
  <c r="C355" i="4" s="1"/>
  <c r="C53" i="4" s="1"/>
  <c r="C359" i="4"/>
  <c r="C361" i="4" s="1"/>
  <c r="C54" i="4" s="1"/>
  <c r="C350" i="4"/>
  <c r="C51" i="4" s="1"/>
  <c r="E47" i="17"/>
  <c r="F47" i="17" s="1"/>
  <c r="G47" i="17" s="1"/>
  <c r="C48" i="17" s="1"/>
  <c r="L48" i="8" l="1"/>
  <c r="K60" i="8"/>
  <c r="K61" i="8" s="1"/>
  <c r="K62" i="8" s="1"/>
  <c r="E48" i="17"/>
  <c r="D89" i="4" s="1"/>
  <c r="M48" i="8" l="1"/>
  <c r="L60" i="8"/>
  <c r="L61" i="8" s="1"/>
  <c r="L62" i="8" s="1"/>
  <c r="F48" i="17"/>
  <c r="G48" i="17" l="1"/>
  <c r="C49" i="17" s="1"/>
  <c r="E49" i="17" s="1"/>
  <c r="J46" i="17" s="1"/>
  <c r="F56" i="3" s="1"/>
  <c r="L15" i="17"/>
  <c r="D82" i="4"/>
  <c r="D92" i="4" s="1"/>
  <c r="D93" i="4" s="1"/>
  <c r="M60" i="8"/>
  <c r="M61" i="8" s="1"/>
  <c r="M62" i="8" s="1"/>
  <c r="N48" i="8"/>
  <c r="N60" i="8" s="1"/>
  <c r="N61" i="8" s="1"/>
  <c r="F49" i="17"/>
  <c r="K15" i="17"/>
  <c r="D45" i="5" s="1"/>
  <c r="G49" i="17" l="1"/>
  <c r="C50" i="17" s="1"/>
  <c r="E50" i="17" s="1"/>
  <c r="F50" i="17" s="1"/>
  <c r="G50" i="17" s="1"/>
  <c r="C51" i="17" s="1"/>
  <c r="C139" i="4"/>
  <c r="D94" i="4"/>
  <c r="F40" i="2" s="1"/>
  <c r="K26" i="17"/>
  <c r="D334" i="4"/>
  <c r="D335" i="4" s="1"/>
  <c r="D48" i="4" s="1"/>
  <c r="F45" i="13"/>
  <c r="L45" i="13"/>
  <c r="C103" i="4"/>
  <c r="C135" i="4" s="1"/>
  <c r="D270" i="4"/>
  <c r="D347" i="4" s="1"/>
  <c r="H45" i="5"/>
  <c r="E45" i="5"/>
  <c r="D48" i="5"/>
  <c r="F57" i="12"/>
  <c r="L56" i="3"/>
  <c r="J56" i="3"/>
  <c r="E51" i="17"/>
  <c r="F51" i="17" s="1"/>
  <c r="G51" i="17" s="1"/>
  <c r="C52" i="17" s="1"/>
  <c r="L57" i="12" l="1"/>
  <c r="J57" i="12"/>
  <c r="J45" i="13"/>
  <c r="G45" i="13"/>
  <c r="F48" i="13"/>
  <c r="F39" i="2"/>
  <c r="F40" i="11"/>
  <c r="J40" i="2"/>
  <c r="H48" i="5"/>
  <c r="D269" i="4"/>
  <c r="D271" i="4" s="1"/>
  <c r="D36" i="4" s="1"/>
  <c r="D349" i="4"/>
  <c r="C100" i="4"/>
  <c r="C105" i="4" s="1"/>
  <c r="D52" i="5"/>
  <c r="D364" i="4"/>
  <c r="D365" i="4" s="1"/>
  <c r="D55" i="4" s="1"/>
  <c r="E48" i="5"/>
  <c r="L48" i="13"/>
  <c r="D38" i="3"/>
  <c r="J26" i="17"/>
  <c r="E52" i="17"/>
  <c r="F52" i="17" s="1"/>
  <c r="G52" i="17" s="1"/>
  <c r="C53" i="17" s="1"/>
  <c r="D336" i="4" l="1"/>
  <c r="D337" i="4" s="1"/>
  <c r="D49" i="4" s="1"/>
  <c r="C107" i="4"/>
  <c r="C111" i="4" s="1"/>
  <c r="D375" i="4"/>
  <c r="D376" i="4"/>
  <c r="H52" i="5"/>
  <c r="F52" i="13"/>
  <c r="L52" i="13"/>
  <c r="F49" i="3"/>
  <c r="E52" i="5"/>
  <c r="G48" i="13"/>
  <c r="J48" i="13"/>
  <c r="F39" i="11"/>
  <c r="L40" i="11"/>
  <c r="J40" i="11"/>
  <c r="D54" i="5"/>
  <c r="F26" i="2"/>
  <c r="D247" i="4"/>
  <c r="J39" i="2"/>
  <c r="D179" i="4"/>
  <c r="D180" i="4" s="1"/>
  <c r="D168" i="4"/>
  <c r="D39" i="12"/>
  <c r="D37" i="3"/>
  <c r="I38" i="3"/>
  <c r="K38" i="3"/>
  <c r="D32" i="3"/>
  <c r="E53" i="17"/>
  <c r="F53" i="17" s="1"/>
  <c r="G53" i="17" s="1"/>
  <c r="C54" i="17" s="1"/>
  <c r="L39" i="11" l="1"/>
  <c r="F26" i="11"/>
  <c r="J39" i="11"/>
  <c r="D33" i="12"/>
  <c r="C183" i="4"/>
  <c r="C186" i="4" s="1"/>
  <c r="C246" i="4"/>
  <c r="C248" i="4" s="1"/>
  <c r="I32" i="3"/>
  <c r="K32" i="3"/>
  <c r="D30" i="3"/>
  <c r="I39" i="12"/>
  <c r="D38" i="12"/>
  <c r="K39" i="12"/>
  <c r="E54" i="5"/>
  <c r="D59" i="5"/>
  <c r="H54" i="5"/>
  <c r="L54" i="13"/>
  <c r="C184" i="4"/>
  <c r="C169" i="4"/>
  <c r="C170" i="4" s="1"/>
  <c r="K37" i="3"/>
  <c r="I37" i="3"/>
  <c r="D35" i="3"/>
  <c r="F48" i="3"/>
  <c r="J49" i="3"/>
  <c r="L49" i="3"/>
  <c r="F50" i="12"/>
  <c r="F54" i="13"/>
  <c r="G52" i="13"/>
  <c r="J52" i="13"/>
  <c r="D153" i="4"/>
  <c r="F44" i="2"/>
  <c r="J26" i="2"/>
  <c r="G26" i="2"/>
  <c r="D377" i="4"/>
  <c r="D58" i="4" s="1"/>
  <c r="C109" i="4"/>
  <c r="C276" i="4" s="1"/>
  <c r="D353" i="4" s="1"/>
  <c r="C199" i="4"/>
  <c r="E54" i="17"/>
  <c r="F54" i="17" s="1"/>
  <c r="G54" i="17" l="1"/>
  <c r="C55" i="17" s="1"/>
  <c r="D159" i="4"/>
  <c r="D160" i="4" s="1"/>
  <c r="J48" i="3"/>
  <c r="L48" i="3"/>
  <c r="C115" i="4" s="1"/>
  <c r="C116" i="4" s="1"/>
  <c r="C118" i="4" s="1"/>
  <c r="C255" i="4"/>
  <c r="C257" i="4" s="1"/>
  <c r="C34" i="4" s="1"/>
  <c r="C251" i="4"/>
  <c r="C32" i="4"/>
  <c r="G31" i="2"/>
  <c r="G42" i="2"/>
  <c r="G34" i="2"/>
  <c r="G24" i="2"/>
  <c r="G21" i="2"/>
  <c r="G12" i="2"/>
  <c r="G28" i="2"/>
  <c r="D360" i="4"/>
  <c r="G30" i="2"/>
  <c r="G17" i="2"/>
  <c r="G19" i="2"/>
  <c r="G22" i="2"/>
  <c r="G37" i="2"/>
  <c r="G6" i="2"/>
  <c r="J44" i="2"/>
  <c r="G13" i="2"/>
  <c r="D391" i="4"/>
  <c r="G32" i="2"/>
  <c r="G10" i="2"/>
  <c r="G20" i="2"/>
  <c r="G8" i="2"/>
  <c r="G18" i="2"/>
  <c r="G35" i="2"/>
  <c r="G15" i="2"/>
  <c r="G40" i="2"/>
  <c r="G39" i="2"/>
  <c r="K35" i="3"/>
  <c r="I35" i="3"/>
  <c r="C154" i="4"/>
  <c r="J26" i="11"/>
  <c r="F44" i="11"/>
  <c r="G26" i="11" s="1"/>
  <c r="L26" i="11"/>
  <c r="L50" i="12"/>
  <c r="J50" i="12"/>
  <c r="F49" i="12"/>
  <c r="K38" i="12"/>
  <c r="I38" i="12"/>
  <c r="D36" i="12"/>
  <c r="K30" i="3"/>
  <c r="D28" i="3"/>
  <c r="D58" i="3" s="1"/>
  <c r="E30" i="3" s="1"/>
  <c r="I30" i="3"/>
  <c r="I33" i="12"/>
  <c r="D31" i="12"/>
  <c r="K33" i="12"/>
  <c r="C130" i="4"/>
  <c r="E59" i="5"/>
  <c r="D66" i="5"/>
  <c r="D68" i="5" s="1"/>
  <c r="D71" i="5" s="1"/>
  <c r="D75" i="5" s="1"/>
  <c r="F19" i="3" s="1"/>
  <c r="D348" i="4"/>
  <c r="H59" i="5"/>
  <c r="L59" i="13"/>
  <c r="G54" i="13"/>
  <c r="F59" i="13"/>
  <c r="J54" i="13"/>
  <c r="E55" i="17"/>
  <c r="F55" i="17" s="1"/>
  <c r="G55" i="17" s="1"/>
  <c r="C56" i="17" s="1"/>
  <c r="I31" i="12" l="1"/>
  <c r="K31" i="12"/>
  <c r="D29" i="12"/>
  <c r="E8" i="3"/>
  <c r="E43" i="3"/>
  <c r="E15" i="3"/>
  <c r="E16" i="3"/>
  <c r="C264" i="4"/>
  <c r="C265" i="4" s="1"/>
  <c r="C35" i="4" s="1"/>
  <c r="E21" i="3"/>
  <c r="E46" i="3"/>
  <c r="E33" i="3"/>
  <c r="E23" i="3"/>
  <c r="E53" i="3"/>
  <c r="E14" i="3"/>
  <c r="E39" i="3"/>
  <c r="E31" i="3"/>
  <c r="E51" i="3"/>
  <c r="E12" i="3"/>
  <c r="E41" i="3"/>
  <c r="E17" i="3"/>
  <c r="E10" i="3"/>
  <c r="E54" i="3"/>
  <c r="E45" i="3"/>
  <c r="E25" i="3"/>
  <c r="E9" i="3"/>
  <c r="C346" i="4"/>
  <c r="C351" i="4" s="1"/>
  <c r="C52" i="4" s="1"/>
  <c r="I58" i="3"/>
  <c r="E42" i="3"/>
  <c r="C230" i="4"/>
  <c r="K58" i="3"/>
  <c r="E26" i="3"/>
  <c r="E56" i="3"/>
  <c r="E49" i="3"/>
  <c r="E48" i="3"/>
  <c r="D46" i="2"/>
  <c r="E19" i="3"/>
  <c r="E6" i="3"/>
  <c r="E38" i="3"/>
  <c r="E37" i="3"/>
  <c r="E32" i="3"/>
  <c r="D393" i="4"/>
  <c r="D61" i="4" s="1"/>
  <c r="D394" i="4"/>
  <c r="D62" i="4" s="1"/>
  <c r="G36" i="11"/>
  <c r="G37" i="11"/>
  <c r="G20" i="11"/>
  <c r="G12" i="11"/>
  <c r="J44" i="11"/>
  <c r="G21" i="11"/>
  <c r="G32" i="11"/>
  <c r="G22" i="11"/>
  <c r="G42" i="11"/>
  <c r="G18" i="11"/>
  <c r="G30" i="11"/>
  <c r="G34" i="11"/>
  <c r="G8" i="11"/>
  <c r="G17" i="11"/>
  <c r="G24" i="11"/>
  <c r="G10" i="11"/>
  <c r="L44" i="11"/>
  <c r="G19" i="11"/>
  <c r="G15" i="11"/>
  <c r="G13" i="11"/>
  <c r="G6" i="11"/>
  <c r="G28" i="11"/>
  <c r="G31" i="11"/>
  <c r="G35" i="11"/>
  <c r="G40" i="11"/>
  <c r="G39" i="11"/>
  <c r="G59" i="13"/>
  <c r="J59" i="13"/>
  <c r="K36" i="12"/>
  <c r="I36" i="12"/>
  <c r="D59" i="12"/>
  <c r="E31" i="12" s="1"/>
  <c r="C126" i="4"/>
  <c r="D6" i="4"/>
  <c r="C233" i="4"/>
  <c r="C146" i="4"/>
  <c r="C147" i="4" s="1"/>
  <c r="K28" i="3"/>
  <c r="B134" i="4" s="1"/>
  <c r="B136" i="4" s="1"/>
  <c r="B138" i="4" s="1"/>
  <c r="C8" i="4" s="1"/>
  <c r="I28" i="3"/>
  <c r="C226" i="4"/>
  <c r="E28" i="3"/>
  <c r="C282" i="4"/>
  <c r="C284" i="4" s="1"/>
  <c r="C38" i="4" s="1"/>
  <c r="C253" i="4"/>
  <c r="D161" i="4"/>
  <c r="D165" i="4"/>
  <c r="D185" i="4"/>
  <c r="D13" i="4"/>
  <c r="J19" i="3"/>
  <c r="L19" i="3"/>
  <c r="D263" i="4"/>
  <c r="F20" i="12"/>
  <c r="F6" i="3"/>
  <c r="J49" i="12"/>
  <c r="L49" i="12"/>
  <c r="C198" i="4" s="1"/>
  <c r="C200" i="4" s="1"/>
  <c r="C213" i="4" s="1"/>
  <c r="D9" i="4" s="1"/>
  <c r="E35" i="3"/>
  <c r="C155" i="4"/>
  <c r="C156" i="4"/>
  <c r="C15" i="4" s="1"/>
  <c r="E56" i="17"/>
  <c r="F56" i="17" s="1"/>
  <c r="G56" i="17" s="1"/>
  <c r="C57" i="17" s="1"/>
  <c r="E36" i="12" l="1"/>
  <c r="C231" i="4"/>
  <c r="C25" i="4" s="1"/>
  <c r="C239" i="4"/>
  <c r="C30" i="4" s="1"/>
  <c r="C234" i="4"/>
  <c r="C27" i="4" s="1"/>
  <c r="C241" i="4"/>
  <c r="C31" i="4" s="1"/>
  <c r="C151" i="4"/>
  <c r="C150" i="4"/>
  <c r="D7" i="4"/>
  <c r="J6" i="3"/>
  <c r="L6" i="3"/>
  <c r="C129" i="4" s="1"/>
  <c r="D182" i="4"/>
  <c r="D227" i="4"/>
  <c r="D145" i="4"/>
  <c r="F7" i="12"/>
  <c r="J20" i="12"/>
  <c r="L20" i="12"/>
  <c r="I59" i="12"/>
  <c r="K59" i="12"/>
  <c r="E54" i="12"/>
  <c r="E47" i="12"/>
  <c r="E9" i="12"/>
  <c r="E13" i="12"/>
  <c r="E42" i="12"/>
  <c r="E46" i="12"/>
  <c r="E17" i="12"/>
  <c r="E27" i="12"/>
  <c r="E55" i="12"/>
  <c r="E11" i="12"/>
  <c r="E34" i="12"/>
  <c r="E10" i="12"/>
  <c r="E44" i="12"/>
  <c r="E18" i="12"/>
  <c r="E15" i="12"/>
  <c r="E43" i="12"/>
  <c r="E40" i="12"/>
  <c r="E26" i="12"/>
  <c r="E16" i="12"/>
  <c r="E22" i="12"/>
  <c r="E51" i="12"/>
  <c r="E24" i="12"/>
  <c r="E32" i="12"/>
  <c r="E52" i="12"/>
  <c r="E57" i="12"/>
  <c r="E50" i="12"/>
  <c r="E49" i="12"/>
  <c r="E20" i="12"/>
  <c r="E7" i="12"/>
  <c r="E39" i="12"/>
  <c r="E38" i="12"/>
  <c r="E33" i="12"/>
  <c r="I29" i="12"/>
  <c r="K29" i="12"/>
  <c r="E29" i="12"/>
  <c r="B277" i="4"/>
  <c r="B278" i="4" s="1"/>
  <c r="C37" i="4" s="1"/>
  <c r="C228" i="4"/>
  <c r="C24" i="4" s="1"/>
  <c r="C238" i="4"/>
  <c r="C29" i="4" s="1"/>
  <c r="C33" i="4"/>
  <c r="C26" i="4"/>
  <c r="E57" i="17"/>
  <c r="F57" i="17" s="1"/>
  <c r="G57" i="17" s="1"/>
  <c r="C58" i="17" s="1"/>
  <c r="J7" i="12" l="1"/>
  <c r="L7" i="12"/>
  <c r="D252" i="4"/>
  <c r="D345" i="4"/>
  <c r="C164" i="4"/>
  <c r="C166" i="4" s="1"/>
  <c r="C14" i="4" s="1"/>
  <c r="C12" i="4"/>
  <c r="E58" i="17"/>
  <c r="F58" i="17" s="1"/>
  <c r="G58" i="17" s="1"/>
  <c r="C59" i="17" s="1"/>
  <c r="D354" i="4" l="1"/>
  <c r="D355" i="4" s="1"/>
  <c r="D53" i="4" s="1"/>
  <c r="D359" i="4"/>
  <c r="D361" i="4" s="1"/>
  <c r="D54" i="4" s="1"/>
  <c r="D350" i="4"/>
  <c r="D51" i="4" s="1"/>
  <c r="E59" i="17"/>
  <c r="F59" i="17" s="1"/>
  <c r="G59" i="17" s="1"/>
  <c r="C60" i="17" s="1"/>
  <c r="E60" i="17" l="1"/>
  <c r="F60" i="17" l="1"/>
  <c r="G60" i="17" l="1"/>
  <c r="C61" i="17" s="1"/>
  <c r="E61" i="17" s="1"/>
  <c r="J47" i="17" s="1"/>
  <c r="L16" i="17"/>
  <c r="F61" i="17"/>
  <c r="K16" i="17"/>
  <c r="G61" i="17" l="1"/>
  <c r="C62" i="17" s="1"/>
  <c r="E62" i="17" s="1"/>
  <c r="F62" i="17" s="1"/>
  <c r="G62" i="17" s="1"/>
  <c r="C63" i="17" s="1"/>
  <c r="E63" i="17" s="1"/>
  <c r="F63" i="17" s="1"/>
  <c r="G63" i="17" s="1"/>
  <c r="C64" i="17" s="1"/>
  <c r="K27" i="17"/>
  <c r="F38" i="3" l="1"/>
  <c r="J27" i="17"/>
  <c r="E64" i="17"/>
  <c r="F64" i="17" s="1"/>
  <c r="G64" i="17" l="1"/>
  <c r="C65" i="17" s="1"/>
  <c r="F37" i="3"/>
  <c r="F39" i="12"/>
  <c r="L38" i="3"/>
  <c r="J38" i="3"/>
  <c r="F32" i="3"/>
  <c r="E65" i="17"/>
  <c r="F65" i="17" s="1"/>
  <c r="G65" i="17" s="1"/>
  <c r="C66" i="17" s="1"/>
  <c r="F38" i="12" l="1"/>
  <c r="L39" i="12"/>
  <c r="J39" i="12"/>
  <c r="D183" i="4"/>
  <c r="F33" i="12"/>
  <c r="D246" i="4"/>
  <c r="D248" i="4" s="1"/>
  <c r="L32" i="3"/>
  <c r="J32" i="3"/>
  <c r="F30" i="3"/>
  <c r="D184" i="4"/>
  <c r="D169" i="4"/>
  <c r="D170" i="4" s="1"/>
  <c r="J37" i="3"/>
  <c r="L37" i="3"/>
  <c r="F35" i="3"/>
  <c r="E66" i="17"/>
  <c r="F66" i="17" s="1"/>
  <c r="G66" i="17" s="1"/>
  <c r="C67" i="17" s="1"/>
  <c r="D255" i="4" l="1"/>
  <c r="D257" i="4" s="1"/>
  <c r="D34" i="4" s="1"/>
  <c r="D251" i="4"/>
  <c r="D32" i="4"/>
  <c r="F28" i="3"/>
  <c r="F58" i="3" s="1"/>
  <c r="G30" i="3" s="1"/>
  <c r="L30" i="3"/>
  <c r="J30" i="3"/>
  <c r="D186" i="4"/>
  <c r="J38" i="12"/>
  <c r="L38" i="12"/>
  <c r="F36" i="12"/>
  <c r="J33" i="12"/>
  <c r="L33" i="12"/>
  <c r="F31" i="12"/>
  <c r="D233" i="4"/>
  <c r="L35" i="3"/>
  <c r="D154" i="4"/>
  <c r="J35" i="3"/>
  <c r="E67" i="17"/>
  <c r="F67" i="17" s="1"/>
  <c r="G67" i="17" s="1"/>
  <c r="C68" i="17" s="1"/>
  <c r="J31" i="12" l="1"/>
  <c r="F29" i="12"/>
  <c r="L31" i="12"/>
  <c r="J36" i="12"/>
  <c r="L36" i="12"/>
  <c r="F59" i="12"/>
  <c r="G31" i="12" s="1"/>
  <c r="D346" i="4"/>
  <c r="D351" i="4" s="1"/>
  <c r="D52" i="4" s="1"/>
  <c r="G51" i="3"/>
  <c r="G46" i="3"/>
  <c r="G8" i="3"/>
  <c r="D264" i="4"/>
  <c r="D265" i="4" s="1"/>
  <c r="D35" i="4" s="1"/>
  <c r="G45" i="3"/>
  <c r="G41" i="3"/>
  <c r="G54" i="3"/>
  <c r="G9" i="3"/>
  <c r="G17" i="3"/>
  <c r="G14" i="3"/>
  <c r="G26" i="3"/>
  <c r="G31" i="3"/>
  <c r="G12" i="3"/>
  <c r="G53" i="3"/>
  <c r="G43" i="3"/>
  <c r="G33" i="3"/>
  <c r="G15" i="3"/>
  <c r="G10" i="3"/>
  <c r="G25" i="3"/>
  <c r="G21" i="3"/>
  <c r="D230" i="4"/>
  <c r="G16" i="3"/>
  <c r="G39" i="3"/>
  <c r="G42" i="3"/>
  <c r="G23" i="3"/>
  <c r="L58" i="3"/>
  <c r="J58" i="3"/>
  <c r="G56" i="3"/>
  <c r="G49" i="3"/>
  <c r="F46" i="2"/>
  <c r="G48" i="3"/>
  <c r="G19" i="3"/>
  <c r="G6" i="3"/>
  <c r="G38" i="3"/>
  <c r="G37" i="3"/>
  <c r="G32" i="3"/>
  <c r="G35" i="3"/>
  <c r="D146" i="4"/>
  <c r="D147" i="4" s="1"/>
  <c r="J28" i="3"/>
  <c r="L28" i="3"/>
  <c r="C134" i="4" s="1"/>
  <c r="D226" i="4"/>
  <c r="G28" i="3"/>
  <c r="D156" i="4"/>
  <c r="D15" i="4" s="1"/>
  <c r="D155" i="4"/>
  <c r="D282" i="4"/>
  <c r="D284" i="4" s="1"/>
  <c r="D38" i="4" s="1"/>
  <c r="D253" i="4"/>
  <c r="D234" i="4"/>
  <c r="D27" i="4" s="1"/>
  <c r="D241" i="4"/>
  <c r="D31" i="4" s="1"/>
  <c r="E68" i="17"/>
  <c r="F68" i="17" s="1"/>
  <c r="G68" i="17" s="1"/>
  <c r="C69" i="17" s="1"/>
  <c r="G36" i="12" l="1"/>
  <c r="D151" i="4"/>
  <c r="D150" i="4"/>
  <c r="D33" i="4"/>
  <c r="D26" i="4"/>
  <c r="D231" i="4"/>
  <c r="D25" i="4" s="1"/>
  <c r="D239" i="4"/>
  <c r="D30" i="4" s="1"/>
  <c r="J29" i="12"/>
  <c r="L29" i="12"/>
  <c r="G29" i="12"/>
  <c r="F61" i="12"/>
  <c r="G32" i="12"/>
  <c r="G11" i="12"/>
  <c r="G10" i="12"/>
  <c r="J59" i="12"/>
  <c r="G55" i="12"/>
  <c r="G47" i="12"/>
  <c r="G27" i="12"/>
  <c r="G42" i="12"/>
  <c r="G52" i="12"/>
  <c r="G15" i="12"/>
  <c r="G18" i="12"/>
  <c r="G43" i="12"/>
  <c r="G24" i="12"/>
  <c r="G9" i="12"/>
  <c r="G54" i="12"/>
  <c r="G40" i="12"/>
  <c r="L59" i="12"/>
  <c r="G46" i="12"/>
  <c r="G44" i="12"/>
  <c r="G17" i="12"/>
  <c r="G13" i="12"/>
  <c r="G22" i="12"/>
  <c r="G16" i="12"/>
  <c r="G26" i="12"/>
  <c r="G34" i="12"/>
  <c r="G51" i="12"/>
  <c r="G57" i="12"/>
  <c r="G50" i="12"/>
  <c r="G49" i="12"/>
  <c r="G20" i="12"/>
  <c r="G7" i="12"/>
  <c r="G39" i="12"/>
  <c r="G33" i="12"/>
  <c r="G38" i="12"/>
  <c r="C277" i="4"/>
  <c r="C278" i="4" s="1"/>
  <c r="D37" i="4" s="1"/>
  <c r="D228" i="4"/>
  <c r="D24" i="4" s="1"/>
  <c r="D238" i="4"/>
  <c r="D29" i="4" s="1"/>
  <c r="F134" i="4"/>
  <c r="I134" i="4" s="1"/>
  <c r="L134" i="4" s="1"/>
  <c r="O134" i="4" s="1"/>
  <c r="C136" i="4"/>
  <c r="C138" i="4" s="1"/>
  <c r="D8" i="4" s="1"/>
  <c r="E69" i="17"/>
  <c r="F69" i="17" s="1"/>
  <c r="G69" i="17" s="1"/>
  <c r="C70" i="17" s="1"/>
  <c r="D12" i="4" l="1"/>
  <c r="D164" i="4"/>
  <c r="D166" i="4" s="1"/>
  <c r="D14" i="4" s="1"/>
  <c r="E70" i="17"/>
  <c r="F70" i="17" s="1"/>
  <c r="G70" i="17" s="1"/>
  <c r="C71" i="17" s="1"/>
  <c r="E71" i="17" l="1"/>
  <c r="F71" i="17" l="1"/>
  <c r="G71" i="17" s="1"/>
  <c r="C72" i="17" s="1"/>
  <c r="E72" i="17" s="1"/>
  <c r="J17" i="17"/>
  <c r="F72" i="17" l="1"/>
  <c r="L17" i="17" s="1"/>
  <c r="K28" i="17" l="1"/>
  <c r="J28" i="17" s="1"/>
  <c r="G72" i="17"/>
  <c r="C73" i="17" s="1"/>
  <c r="E73" i="17" l="1"/>
  <c r="J48" i="17" s="1"/>
  <c r="K18" i="17" l="1"/>
  <c r="K17" i="17"/>
  <c r="F73" i="17" l="1"/>
  <c r="L18" i="17" s="1"/>
  <c r="J18" i="17"/>
  <c r="J19" i="17" s="1"/>
  <c r="K19" i="17"/>
  <c r="G73" i="17"/>
  <c r="C74" i="17" s="1"/>
  <c r="E74" i="17" l="1"/>
  <c r="F74" i="17" s="1"/>
  <c r="G74" i="17" s="1"/>
  <c r="C75" i="17" s="1"/>
  <c r="K29" i="17"/>
  <c r="L19" i="17"/>
  <c r="J20" i="17"/>
  <c r="E75" i="17" l="1"/>
  <c r="F75" i="17" s="1"/>
  <c r="G75" i="17"/>
  <c r="C76" i="17" s="1"/>
  <c r="E76" i="17" s="1"/>
  <c r="F76" i="17" s="1"/>
  <c r="G76" i="17" s="1"/>
  <c r="C77" i="17" s="1"/>
  <c r="E77" i="17" l="1"/>
  <c r="F77" i="17" s="1"/>
  <c r="G77" i="17"/>
  <c r="C78" i="17" s="1"/>
  <c r="E78" i="17" l="1"/>
  <c r="F78" i="17" s="1"/>
  <c r="G78" i="17" s="1"/>
  <c r="C79" i="17" s="1"/>
  <c r="E79" i="17" l="1"/>
  <c r="F79" i="17" s="1"/>
  <c r="G79" i="17"/>
  <c r="C80" i="17" s="1"/>
  <c r="E80" i="17" l="1"/>
  <c r="F80" i="17" s="1"/>
  <c r="G80" i="17"/>
  <c r="C81" i="17" s="1"/>
  <c r="E81" i="17" l="1"/>
  <c r="F81" i="17" s="1"/>
  <c r="G81" i="17"/>
  <c r="C82" i="17" s="1"/>
  <c r="E82" i="17" l="1"/>
  <c r="F82" i="17" s="1"/>
  <c r="G82" i="17"/>
  <c r="C83" i="17" s="1"/>
  <c r="E83" i="17" s="1"/>
  <c r="F83" i="17" s="1"/>
  <c r="G83" i="17" s="1"/>
  <c r="C84" i="17" s="1"/>
  <c r="E84" i="17" s="1"/>
  <c r="F84" i="17" s="1"/>
  <c r="G84" i="17" s="1"/>
  <c r="C85" i="17" s="1"/>
  <c r="E85" i="17" s="1"/>
  <c r="F85" i="17" s="1"/>
  <c r="G85" i="17" s="1"/>
  <c r="C86" i="17" s="1"/>
  <c r="E86" i="17" l="1"/>
  <c r="F86" i="17" s="1"/>
  <c r="G86" i="17"/>
  <c r="C87" i="17" s="1"/>
  <c r="E87" i="17" l="1"/>
  <c r="F87" i="17" s="1"/>
  <c r="G87" i="17"/>
  <c r="C88" i="17" s="1"/>
  <c r="E88" i="17" s="1"/>
  <c r="F88" i="17" s="1"/>
  <c r="G88" i="17" s="1"/>
  <c r="C89" i="17" s="1"/>
  <c r="E89" i="17" l="1"/>
  <c r="F89" i="17" s="1"/>
  <c r="G89" i="17"/>
  <c r="C90" i="17" s="1"/>
  <c r="E90" i="17" s="1"/>
  <c r="F90" i="17" s="1"/>
  <c r="G90" i="17" s="1"/>
  <c r="C91" i="17" s="1"/>
  <c r="E91" i="17" s="1"/>
  <c r="F91" i="17" s="1"/>
  <c r="G91" i="17" s="1"/>
  <c r="C92" i="17" s="1"/>
  <c r="E92" i="17" l="1"/>
  <c r="F92" i="17" s="1"/>
  <c r="G92" i="17"/>
  <c r="C93" i="17" s="1"/>
  <c r="E93" i="17" s="1"/>
  <c r="F93" i="17" s="1"/>
  <c r="G93" i="17" s="1"/>
  <c r="C94" i="17" s="1"/>
  <c r="E94" i="17" s="1"/>
  <c r="F94" i="17" s="1"/>
  <c r="G94" i="17" s="1"/>
  <c r="C95" i="17" s="1"/>
  <c r="E95" i="17" l="1"/>
  <c r="F95" i="17" s="1"/>
  <c r="G95" i="17"/>
  <c r="C96" i="17" s="1"/>
  <c r="E96" i="17" l="1"/>
  <c r="F96" i="17" s="1"/>
  <c r="G96" i="17"/>
  <c r="C97" i="17" s="1"/>
  <c r="E97" i="17" l="1"/>
  <c r="F97" i="17" s="1"/>
  <c r="G97" i="17"/>
  <c r="C98" i="17" s="1"/>
  <c r="E98" i="17" s="1"/>
  <c r="F98" i="17" s="1"/>
  <c r="G98" i="17" s="1"/>
  <c r="C99" i="17" s="1"/>
  <c r="E99" i="17" l="1"/>
  <c r="F99" i="17" s="1"/>
  <c r="G99" i="17"/>
  <c r="C100" i="17" s="1"/>
  <c r="E100" i="17" l="1"/>
  <c r="F100" i="17" s="1"/>
  <c r="G100" i="17"/>
  <c r="C101" i="17" s="1"/>
  <c r="E101" i="17" l="1"/>
  <c r="F101" i="17" s="1"/>
  <c r="G101" i="17"/>
  <c r="C102" i="17" s="1"/>
  <c r="E102" i="17" l="1"/>
  <c r="F102" i="17" s="1"/>
  <c r="G102" i="17"/>
  <c r="C103" i="17" s="1"/>
  <c r="E103" i="17" l="1"/>
  <c r="F103" i="17" s="1"/>
  <c r="G103" i="17"/>
  <c r="C104" i="17" s="1"/>
  <c r="E104" i="17" l="1"/>
  <c r="F104" i="17" s="1"/>
  <c r="G104" i="17"/>
  <c r="C105" i="17" s="1"/>
  <c r="E105" i="17" l="1"/>
  <c r="F105" i="17" s="1"/>
  <c r="G105" i="17"/>
  <c r="C106" i="17" s="1"/>
  <c r="E106" i="17" s="1"/>
  <c r="F106" i="17" s="1"/>
  <c r="G106" i="17" s="1"/>
  <c r="C107" i="17" s="1"/>
  <c r="E107" i="17" s="1"/>
  <c r="F107" i="17" s="1"/>
  <c r="G107" i="17" s="1"/>
  <c r="C108" i="17" s="1"/>
  <c r="E108" i="17" l="1"/>
  <c r="F108" i="17" s="1"/>
  <c r="G108" i="17"/>
  <c r="C109" i="17" s="1"/>
  <c r="E109" i="17" s="1"/>
  <c r="F109" i="17" s="1"/>
  <c r="G109" i="17" s="1"/>
  <c r="C110" i="17" s="1"/>
  <c r="E110" i="17" s="1"/>
  <c r="F110" i="17" s="1"/>
  <c r="G110" i="17" s="1"/>
  <c r="C111" i="17" s="1"/>
  <c r="E111" i="17" l="1"/>
  <c r="F111" i="17" s="1"/>
  <c r="G111" i="17"/>
  <c r="C112" i="17" s="1"/>
  <c r="E112" i="17" l="1"/>
  <c r="F112" i="17" s="1"/>
  <c r="G112" i="17" s="1"/>
  <c r="C113" i="17" s="1"/>
  <c r="E113" i="17" s="1"/>
  <c r="F113" i="17" s="1"/>
  <c r="G113" i="17" s="1"/>
  <c r="C114" i="17" s="1"/>
  <c r="E114" i="17" l="1"/>
  <c r="F114" i="17" s="1"/>
  <c r="G114" i="17"/>
  <c r="C115" i="17" s="1"/>
  <c r="E115" i="17" l="1"/>
  <c r="F115" i="17" s="1"/>
  <c r="G115" i="17"/>
  <c r="C116" i="17" s="1"/>
  <c r="E116" i="17" s="1"/>
  <c r="F116" i="17" s="1"/>
  <c r="G116" i="17" s="1"/>
  <c r="C117" i="17" s="1"/>
  <c r="E117" i="17" l="1"/>
  <c r="F117" i="17" s="1"/>
  <c r="G117" i="17"/>
  <c r="C118" i="17" s="1"/>
  <c r="E118" i="17" l="1"/>
  <c r="F118" i="17" s="1"/>
  <c r="G118" i="17"/>
  <c r="C119" i="17" s="1"/>
  <c r="E119" i="17" l="1"/>
  <c r="F119" i="17" s="1"/>
  <c r="G119" i="17"/>
  <c r="C120" i="17" s="1"/>
  <c r="E120" i="17" l="1"/>
  <c r="F120" i="17" s="1"/>
  <c r="G120" i="17" s="1"/>
  <c r="C121" i="17" s="1"/>
  <c r="E121" i="17" l="1"/>
  <c r="F121" i="17" s="1"/>
  <c r="G121" i="17"/>
  <c r="C122" i="17" s="1"/>
  <c r="E122" i="17" l="1"/>
  <c r="F122" i="17" s="1"/>
  <c r="G122" i="17"/>
  <c r="C123" i="17" s="1"/>
  <c r="E123" i="17" s="1"/>
  <c r="F123" i="17" s="1"/>
  <c r="G123" i="17" s="1"/>
  <c r="C124" i="17" s="1"/>
  <c r="E124" i="17" l="1"/>
  <c r="F124" i="17" s="1"/>
  <c r="G124" i="17"/>
  <c r="C125" i="17" s="1"/>
  <c r="E125" i="17" s="1"/>
  <c r="F125" i="17" s="1"/>
  <c r="G125" i="17" s="1"/>
  <c r="C126" i="17" s="1"/>
  <c r="E126" i="17" s="1"/>
  <c r="F126" i="17" s="1"/>
  <c r="G126" i="17" s="1"/>
  <c r="C127" i="17" s="1"/>
  <c r="E127" i="17" l="1"/>
  <c r="F127" i="17" s="1"/>
  <c r="G127" i="17"/>
  <c r="C128" i="17" s="1"/>
  <c r="E128" i="17" l="1"/>
  <c r="F128" i="17" s="1"/>
  <c r="G128" i="17"/>
  <c r="C129" i="17" s="1"/>
  <c r="E129" i="17" l="1"/>
  <c r="F129" i="17" s="1"/>
  <c r="G129" i="17"/>
  <c r="C130" i="17" s="1"/>
  <c r="E130" i="17" s="1"/>
  <c r="F130" i="17" s="1"/>
  <c r="G130" i="17" s="1"/>
  <c r="C131" i="17" s="1"/>
  <c r="E131" i="17" l="1"/>
  <c r="F131" i="17" s="1"/>
  <c r="G131" i="17"/>
  <c r="C132" i="17" s="1"/>
  <c r="E132" i="17" s="1"/>
  <c r="F132" i="17" s="1"/>
  <c r="G132" i="17" s="1"/>
  <c r="C133" i="17" s="1"/>
  <c r="E133" i="17" l="1"/>
  <c r="F133" i="17" s="1"/>
  <c r="G133" i="17"/>
</calcChain>
</file>

<file path=xl/sharedStrings.xml><?xml version="1.0" encoding="utf-8"?>
<sst xmlns="http://schemas.openxmlformats.org/spreadsheetml/2006/main" count="842" uniqueCount="585">
  <si>
    <t>ACTIVA</t>
  </si>
  <si>
    <t>VASTE ACTIVA</t>
  </si>
  <si>
    <t>Oprichtingskosten</t>
  </si>
  <si>
    <t>Immateriële Vaste Activa</t>
  </si>
  <si>
    <t>Materiële Vaste Activa</t>
  </si>
  <si>
    <t>Financiële Vaste Activa</t>
  </si>
  <si>
    <t>VLOTTENDE ACTIVA</t>
  </si>
  <si>
    <t>Vorderingen op + 1 Jaar</t>
  </si>
  <si>
    <t>Handelsvorderingen</t>
  </si>
  <si>
    <t>Overige Vorderingen</t>
  </si>
  <si>
    <t>Voorraden</t>
  </si>
  <si>
    <t>Voorraad Handelsgoederen</t>
  </si>
  <si>
    <t>Liquide Middelen</t>
  </si>
  <si>
    <t>Bank</t>
  </si>
  <si>
    <t>TOTAAL ACTIVA</t>
  </si>
  <si>
    <t>PASSIVA</t>
  </si>
  <si>
    <t>EIGEN VERMOGEN</t>
  </si>
  <si>
    <t>Reserves</t>
  </si>
  <si>
    <t>Overgedragen Resultaat</t>
  </si>
  <si>
    <t>SCHULDEN OP + 1 JAAR</t>
  </si>
  <si>
    <t>Achtergestelde Lening</t>
  </si>
  <si>
    <t>SCHULDEN OP - 1 JAAR</t>
  </si>
  <si>
    <t>Kredietinstellingen R/C</t>
  </si>
  <si>
    <t>Leveranciers</t>
  </si>
  <si>
    <t>Belastingen</t>
  </si>
  <si>
    <t>Overige</t>
  </si>
  <si>
    <t>TOTAAL PASSIVA</t>
  </si>
  <si>
    <t>Financiële opbrengsten</t>
  </si>
  <si>
    <t>TOTAAL IN</t>
  </si>
  <si>
    <t>Intresten</t>
  </si>
  <si>
    <t>TOTAAL UIT</t>
  </si>
  <si>
    <t>RESULTATENREKENING</t>
  </si>
  <si>
    <t>BEDRIJFSOPBRENGSTEN</t>
  </si>
  <si>
    <t>Verkoop</t>
  </si>
  <si>
    <t>BEDRIJFSKOSTEN</t>
  </si>
  <si>
    <t>Diensten en Div. Goederen</t>
  </si>
  <si>
    <t>Personeelskosten</t>
  </si>
  <si>
    <t>Afschrijvingen</t>
  </si>
  <si>
    <t>Overige Bedrijfskosten</t>
  </si>
  <si>
    <t>Financiële Opbrengsten</t>
  </si>
  <si>
    <t>Financiële Kosten</t>
  </si>
  <si>
    <t>RESULTAAT VOOR BELASTING</t>
  </si>
  <si>
    <t>NETTO RESULTAAT</t>
  </si>
  <si>
    <t>DETAIL ALGEMENE KOSTEN</t>
  </si>
  <si>
    <t>Huisvesting</t>
  </si>
  <si>
    <t>Onderhoud</t>
  </si>
  <si>
    <t>Verzekeringen</t>
  </si>
  <si>
    <t>Administratie</t>
  </si>
  <si>
    <t>Website, software</t>
  </si>
  <si>
    <t>Telefoon, mobiel</t>
  </si>
  <si>
    <t>Kantoorbenodigdheden</t>
  </si>
  <si>
    <t>Representatie</t>
  </si>
  <si>
    <t>Reizen en verplaatsingen</t>
  </si>
  <si>
    <t>Incentives</t>
  </si>
  <si>
    <t>Rollend Materieel</t>
  </si>
  <si>
    <t>Brandstof</t>
  </si>
  <si>
    <t>Accounting</t>
  </si>
  <si>
    <t>Erelonen</t>
  </si>
  <si>
    <t>Beheersbijdragen</t>
  </si>
  <si>
    <t>Aankoop consulting</t>
  </si>
  <si>
    <t>Vergoeding Bedrijfsleiding</t>
  </si>
  <si>
    <t>Vergoeding Bedrijfsleider</t>
  </si>
  <si>
    <t>Vorderingen op - 1 Jaar</t>
  </si>
  <si>
    <t>IN</t>
  </si>
  <si>
    <t>UIT</t>
  </si>
  <si>
    <t xml:space="preserve">TOTAAL </t>
  </si>
  <si>
    <t>TOTAAL</t>
  </si>
  <si>
    <t>Consulting</t>
  </si>
  <si>
    <t>Financiële en management</t>
  </si>
  <si>
    <t>PERSONEELSKOSTEN</t>
  </si>
  <si>
    <t>Jaarbasis</t>
  </si>
  <si>
    <t>Investeringen</t>
  </si>
  <si>
    <t>Leveranciers goederen</t>
  </si>
  <si>
    <t>Leveranciers kosten</t>
  </si>
  <si>
    <t>BEDRIJFSRESULTAAT</t>
  </si>
  <si>
    <t>Overige bedrijfskosten</t>
  </si>
  <si>
    <t>RESULTAATVERWERKING</t>
  </si>
  <si>
    <t>Overgedragen resultaat</t>
  </si>
  <si>
    <t>Toevoeging Reserves</t>
  </si>
  <si>
    <t>Over te dragen resultaat</t>
  </si>
  <si>
    <t>SALDO PERIODE</t>
  </si>
  <si>
    <t>VAST</t>
  </si>
  <si>
    <t>Aankopen</t>
  </si>
  <si>
    <t>Algemene kosten</t>
  </si>
  <si>
    <t>Andere bedrijfskosten</t>
  </si>
  <si>
    <t>Financieel kosten</t>
  </si>
  <si>
    <t>Totaal</t>
  </si>
  <si>
    <t>VARIABEL</t>
  </si>
  <si>
    <t>Contributiemarge</t>
  </si>
  <si>
    <t>in %</t>
  </si>
  <si>
    <t>Omzet €</t>
  </si>
  <si>
    <t>Break Even €</t>
  </si>
  <si>
    <t>Financiële Schulden</t>
  </si>
  <si>
    <t>Handelsschulden</t>
  </si>
  <si>
    <t>Belastingen en Sociale Schulden</t>
  </si>
  <si>
    <t>Overige schulden</t>
  </si>
  <si>
    <t>JAAR 1</t>
  </si>
  <si>
    <t>JAAR 2</t>
  </si>
  <si>
    <t xml:space="preserve">III. BREAK EVEN </t>
  </si>
  <si>
    <t>Jaar 1</t>
  </si>
  <si>
    <t>Jaar 2</t>
  </si>
  <si>
    <t>jan</t>
  </si>
  <si>
    <t>feb</t>
  </si>
  <si>
    <t>mrt</t>
  </si>
  <si>
    <t>apr</t>
  </si>
  <si>
    <t>mei</t>
  </si>
  <si>
    <t>jun</t>
  </si>
  <si>
    <t>jul</t>
  </si>
  <si>
    <t>aug</t>
  </si>
  <si>
    <t>sep</t>
  </si>
  <si>
    <t>okt</t>
  </si>
  <si>
    <t>nov</t>
  </si>
  <si>
    <t>dec</t>
  </si>
  <si>
    <t>INKOMEND</t>
  </si>
  <si>
    <t>UITGAAND</t>
  </si>
  <si>
    <t xml:space="preserve"> SALDO BANK JAAR 1</t>
  </si>
  <si>
    <t>SALDO BANK JAAR 2</t>
  </si>
  <si>
    <t>Belastingvrije Reserves</t>
  </si>
  <si>
    <t>Beschikbare Reserves</t>
  </si>
  <si>
    <t>Voorzieningen</t>
  </si>
  <si>
    <t>Uitgestelde Belastingen</t>
  </si>
  <si>
    <t>Overlopende rekeningen</t>
  </si>
  <si>
    <t>Overlopende Rekeningen</t>
  </si>
  <si>
    <t>VERMOGENSSTROOM TABEL DIRECTE METHODE</t>
  </si>
  <si>
    <t>Herwaarderingsmeerwaarden</t>
  </si>
  <si>
    <t>Niet recurrente opbrengsten</t>
  </si>
  <si>
    <t>Waardeverminderingen</t>
  </si>
  <si>
    <t>Bedrijfsbelastingen</t>
  </si>
  <si>
    <t>BRUTO TOEGEVOEGDE WAARDE</t>
  </si>
  <si>
    <t>EBIT</t>
  </si>
  <si>
    <t>EBITDA</t>
  </si>
  <si>
    <t>TE BESTEMMEN RESULTAAT</t>
  </si>
  <si>
    <t>Te Bestemmen Resultaat</t>
  </si>
  <si>
    <t>Te Bestemmen</t>
  </si>
  <si>
    <t>Toevoeging aan het Kapitaal</t>
  </si>
  <si>
    <t>Vergoeding aan het Kapitaal</t>
  </si>
  <si>
    <t>Vergoeding aan Bestuurders</t>
  </si>
  <si>
    <t>Vergoeding Personeel</t>
  </si>
  <si>
    <t>Totaal Bestemd</t>
  </si>
  <si>
    <t>%</t>
  </si>
  <si>
    <t>Mutaties in %</t>
  </si>
  <si>
    <t>jaar 1 -&gt; 2</t>
  </si>
  <si>
    <t>jaar 2 -&gt; 3</t>
  </si>
  <si>
    <t>Voorraadwijziging</t>
  </si>
  <si>
    <t>Terrein en gebouwen</t>
  </si>
  <si>
    <t>Octrooien, concessies, …</t>
  </si>
  <si>
    <t>Goodwill</t>
  </si>
  <si>
    <t>Inbreng</t>
  </si>
  <si>
    <t>Inkomende kasstromen</t>
  </si>
  <si>
    <t>Uitgaande kasstromen</t>
  </si>
  <si>
    <t>Verschil In/Uit</t>
  </si>
  <si>
    <t>SALDO Liquide Middelen</t>
  </si>
  <si>
    <t>Eigen Vermogen</t>
  </si>
  <si>
    <t>Permanent Vermogen</t>
  </si>
  <si>
    <t>Vaste Activa</t>
  </si>
  <si>
    <t>NBK</t>
  </si>
  <si>
    <t>Vreemd vermogen korte termijn</t>
  </si>
  <si>
    <t>ALGEMENE SCHULDGRAAD</t>
  </si>
  <si>
    <t>Vreemd vermogen</t>
  </si>
  <si>
    <t>Totaal vermogen</t>
  </si>
  <si>
    <t>SOLVABILITEITSGRAAD</t>
  </si>
  <si>
    <t>EV / TV  %</t>
  </si>
  <si>
    <t>VV / EV %</t>
  </si>
  <si>
    <t>VV / TV  %</t>
  </si>
  <si>
    <t>EV / VV  %</t>
  </si>
  <si>
    <t>Resultaat voor belasting</t>
  </si>
  <si>
    <t>potentiële operationele cashflow</t>
  </si>
  <si>
    <t xml:space="preserve">mutaties </t>
  </si>
  <si>
    <t>operationele activa op korte termijn</t>
  </si>
  <si>
    <t>operationele passiva korte termijn</t>
  </si>
  <si>
    <t>mutaties</t>
  </si>
  <si>
    <t>investeringen</t>
  </si>
  <si>
    <t>correctie afschrijvingen</t>
  </si>
  <si>
    <t>eigen vermogen</t>
  </si>
  <si>
    <t>voorzieningen en uitgestelde belasting</t>
  </si>
  <si>
    <t>financiële schulden LT en KT</t>
  </si>
  <si>
    <t>cashflow uit financieringsactiviteiten</t>
  </si>
  <si>
    <t>totale cashflow</t>
  </si>
  <si>
    <t xml:space="preserve">Mutaties </t>
  </si>
  <si>
    <t>Jaar 3</t>
  </si>
  <si>
    <t>niet-kaskosten (+)</t>
  </si>
  <si>
    <t>niet-kasopbrengsten (-)</t>
  </si>
  <si>
    <t>intresten uit vreemd vermogen (+)</t>
  </si>
  <si>
    <t>operationele belastingen (-)</t>
  </si>
  <si>
    <t>opgelet : stijging A is in -, daling A is in +  (dus mogelijk de inhoud cel * -1)</t>
  </si>
  <si>
    <t>opgelet : stijging VA is in -, desinvesteringen (daling VA) is in +</t>
  </si>
  <si>
    <t>voormelde zijn boekwaarden; dwz afschrijvingen boekjaar mee af te trekken bij stijging VA</t>
  </si>
  <si>
    <t>bij daling VA : daling te verminderen met (afschrijving boekjaar verminderd met uitgeboekte afschrijving)</t>
  </si>
  <si>
    <t>N1</t>
  </si>
  <si>
    <t>N0</t>
  </si>
  <si>
    <t>BW</t>
  </si>
  <si>
    <t>tabel CF</t>
  </si>
  <si>
    <t>corr afschrijvingen</t>
  </si>
  <si>
    <t>afschrijving BJ</t>
  </si>
  <si>
    <t>afschrijving desinv</t>
  </si>
  <si>
    <t>VOORRAAD</t>
  </si>
  <si>
    <t xml:space="preserve">aankopen </t>
  </si>
  <si>
    <t>voorraad</t>
  </si>
  <si>
    <t>KLANTEN</t>
  </si>
  <si>
    <t>handelsvorderingen</t>
  </si>
  <si>
    <t xml:space="preserve">bedrijfsopbrengsten </t>
  </si>
  <si>
    <t xml:space="preserve">BTW </t>
  </si>
  <si>
    <t>LEVERANCIERS</t>
  </si>
  <si>
    <t>handelsschulden</t>
  </si>
  <si>
    <t>aankopen en diensten</t>
  </si>
  <si>
    <t>BTW</t>
  </si>
  <si>
    <t>leverancierskrediet</t>
  </si>
  <si>
    <t>vreemd vermogen</t>
  </si>
  <si>
    <t>omzet</t>
  </si>
  <si>
    <t>Brutoverkoopmarge</t>
  </si>
  <si>
    <t>recurrent bedrijfsresultaat</t>
  </si>
  <si>
    <t>niet-kaskosten - niet-kasopbrengst</t>
  </si>
  <si>
    <t>bedrijfsactiva</t>
  </si>
  <si>
    <t>Recurrente bedrijfsopbrengsten</t>
  </si>
  <si>
    <t>Bruto toegevoegde waarde</t>
  </si>
  <si>
    <t>Recurrente Bedrijfsopbrengsten</t>
  </si>
  <si>
    <t>Huurlast off balance</t>
  </si>
  <si>
    <t>Huur gebouw</t>
  </si>
  <si>
    <t>Onderhoud gebouw</t>
  </si>
  <si>
    <t>Onderhoud installaties, machines</t>
  </si>
  <si>
    <t>Energie</t>
  </si>
  <si>
    <t>Aankoop materiaal, inrichting</t>
  </si>
  <si>
    <t>administratie, drukwerk, materiaal</t>
  </si>
  <si>
    <t>andere bijdragen, lidgelden</t>
  </si>
  <si>
    <t>Publiciteit, marketing, …</t>
  </si>
  <si>
    <t>Sociale Zekerheid bijdragen</t>
  </si>
  <si>
    <t>Jaar</t>
  </si>
  <si>
    <t>Omschrijving</t>
  </si>
  <si>
    <t>Aanschaf</t>
  </si>
  <si>
    <t>Boekwaarde</t>
  </si>
  <si>
    <t>Machines, Installaties</t>
  </si>
  <si>
    <t>Meubilair, Inrichting</t>
  </si>
  <si>
    <t xml:space="preserve">Leasing en soortgelijke </t>
  </si>
  <si>
    <t>Bestellingen in uitvoering</t>
  </si>
  <si>
    <t>Leasing en soortgelijke rechten</t>
  </si>
  <si>
    <t>Machines, Installaties, Uitrusting</t>
  </si>
  <si>
    <t>BALANS NA WINSTVERDELING</t>
  </si>
  <si>
    <t>VERTIKALE ANALYSE</t>
  </si>
  <si>
    <t>HORIZONTALE ANALYSE</t>
  </si>
  <si>
    <t>Beschikbaar</t>
  </si>
  <si>
    <t>Onbeschikbaar</t>
  </si>
  <si>
    <t>Onbeschikbare Reserves</t>
  </si>
  <si>
    <t>Kapitaalsubsidies</t>
  </si>
  <si>
    <t>Schulden + 1 jaar die binnen het jaar vervallen</t>
  </si>
  <si>
    <t>Bezoldigingen en Sociale lasten</t>
  </si>
  <si>
    <t>VOORZIENINGEN EN UITGESTELDE BELASTING</t>
  </si>
  <si>
    <t>MATERIELE VASTE ACTIVA</t>
  </si>
  <si>
    <t>Overige MVA</t>
  </si>
  <si>
    <t>Terreinen en Gebouwen</t>
  </si>
  <si>
    <r>
      <rPr>
        <sz val="10"/>
        <color theme="1"/>
        <rFont val="Calibri"/>
        <family val="2"/>
        <scheme val="minor"/>
      </rPr>
      <t xml:space="preserve">    </t>
    </r>
    <r>
      <rPr>
        <u/>
        <sz val="10"/>
        <color theme="1"/>
        <rFont val="Calibri"/>
        <family val="2"/>
        <scheme val="minor"/>
      </rPr>
      <t>Omzet</t>
    </r>
  </si>
  <si>
    <r>
      <t xml:space="preserve">    </t>
    </r>
    <r>
      <rPr>
        <u/>
        <sz val="10"/>
        <color theme="1"/>
        <rFont val="Calibri"/>
        <family val="2"/>
        <scheme val="minor"/>
      </rPr>
      <t>Overige Bedrijfsopbrengsten</t>
    </r>
  </si>
  <si>
    <t>Aankoop Grondstoffen</t>
  </si>
  <si>
    <t>aankoop Handelsgoederen</t>
  </si>
  <si>
    <t>Niet recurrente bedrijfskosten</t>
  </si>
  <si>
    <t>Niet recurrent Financieel (+/-)</t>
  </si>
  <si>
    <t>Onttrekking aan de uitgestelde belasting</t>
  </si>
  <si>
    <t>Overboeking naar de uitgestelde belasting</t>
  </si>
  <si>
    <t>Belastingen op het resultaat</t>
  </si>
  <si>
    <t>Onttrekking aan de  Belastingvrije Reserves</t>
  </si>
  <si>
    <t>Overboeking naar de Belastingvrije Reserves</t>
  </si>
  <si>
    <t>Mutaties</t>
  </si>
  <si>
    <t>Leveranciers diensten</t>
  </si>
  <si>
    <t>NETTOBEDRIJFSKAPITAAL (NBK)</t>
  </si>
  <si>
    <t>DEKKING van het VV door de CF</t>
  </si>
  <si>
    <t>Aantal bedienden</t>
  </si>
  <si>
    <t>Aantal arbeiders</t>
  </si>
  <si>
    <t>uurtarief</t>
  </si>
  <si>
    <t>uur/week</t>
  </si>
  <si>
    <t>omzet maand</t>
  </si>
  <si>
    <t>12 m</t>
  </si>
  <si>
    <t>KUNSTSTOF SPUITGIETMACHINE ENGEL 60 TON</t>
  </si>
  <si>
    <t xml:space="preserve">Onbemand </t>
  </si>
  <si>
    <t xml:space="preserve">uur per dag </t>
  </si>
  <si>
    <t>aantal dagen</t>
  </si>
  <si>
    <t xml:space="preserve">prestatie per week </t>
  </si>
  <si>
    <t>Bruto loon per uur</t>
  </si>
  <si>
    <t>Prestatie per week</t>
  </si>
  <si>
    <t>Bruto maandlast</t>
  </si>
  <si>
    <t>Totale incl RSZ patronaal</t>
  </si>
  <si>
    <t>Aanschaffingswaarde</t>
  </si>
  <si>
    <t xml:space="preserve">Restwaarde </t>
  </si>
  <si>
    <t>Duurtijd jaar</t>
  </si>
  <si>
    <t>Intrest</t>
  </si>
  <si>
    <t>Handelsvorderingen bewerkingen</t>
  </si>
  <si>
    <t>Lease machines aflossingen</t>
  </si>
  <si>
    <t>correctie resultaat boekjaar</t>
  </si>
  <si>
    <t>financiële kaskosten uit VV</t>
  </si>
  <si>
    <t xml:space="preserve">operationele cash flow  </t>
  </si>
  <si>
    <t xml:space="preserve">Vrije cashflow </t>
  </si>
  <si>
    <t>cashflow uit investeringsactiviteiten</t>
  </si>
  <si>
    <t>cashflow uit operationele activiteiten</t>
  </si>
  <si>
    <t>CASH FLOW -  INDIRECTE METHODE</t>
  </si>
  <si>
    <t>OMZETBEPALING</t>
  </si>
  <si>
    <t>Saldo</t>
  </si>
  <si>
    <t>Af te lossen kapitaal</t>
  </si>
  <si>
    <t>Achtergestelde lening</t>
  </si>
  <si>
    <t>meerwaarde</t>
  </si>
  <si>
    <t>Meerwaarde realisatie vaste activa</t>
  </si>
  <si>
    <t>Handelsvorderingen verkoop MVA</t>
  </si>
  <si>
    <t>correctie belastingvrije reserves</t>
  </si>
  <si>
    <t>correctie uitgestelde belastingen</t>
  </si>
  <si>
    <t>jaar 1</t>
  </si>
  <si>
    <t>jaar 2</t>
  </si>
  <si>
    <t>jaar 3</t>
  </si>
  <si>
    <t>totaal</t>
  </si>
  <si>
    <t>saldo</t>
  </si>
  <si>
    <t>rek 451</t>
  </si>
  <si>
    <t>betaald</t>
  </si>
  <si>
    <t>VDO</t>
  </si>
  <si>
    <t>pot. operat. CF voor belastingen</t>
  </si>
  <si>
    <t>VERMOGENSSTROOMTABEL</t>
  </si>
  <si>
    <t>HERKOMST VAN DE MIDDELEN</t>
  </si>
  <si>
    <t>Leningen</t>
  </si>
  <si>
    <t>Leverancierskrediet</t>
  </si>
  <si>
    <t>BESTEDING VAN DE MIDDELEN</t>
  </si>
  <si>
    <t>Immateriële vaste activa</t>
  </si>
  <si>
    <t>Materiële vaste activa</t>
  </si>
  <si>
    <t>Financiële vaste activa</t>
  </si>
  <si>
    <t>Vorderingen op lange termijn</t>
  </si>
  <si>
    <t>Overige vorderingen</t>
  </si>
  <si>
    <t>Overige schulden korte termijn</t>
  </si>
  <si>
    <t>Negatieve cashflow uit activiteiten</t>
  </si>
  <si>
    <t>Positieve cashflow uit activiteiten</t>
  </si>
  <si>
    <t>AANGROEI +  AFNAME -</t>
  </si>
  <si>
    <t>Beperkte Vlottende Activa</t>
  </si>
  <si>
    <t>Bedrijfsactiva</t>
  </si>
  <si>
    <t>Bedrijfspassiva</t>
  </si>
  <si>
    <t>Vreemd vermogen LT &amp; Voorzieningen</t>
  </si>
  <si>
    <t>Nettokas</t>
  </si>
  <si>
    <t>Liquide Middelen en Geldbeleggingen</t>
  </si>
  <si>
    <t>Financiële schulden op korte termijn</t>
  </si>
  <si>
    <t>Netto bedrijfsactiva</t>
  </si>
  <si>
    <t>* Netto bedrijfsactiva</t>
  </si>
  <si>
    <t>LIQUIDITEITSRATIO'S</t>
  </si>
  <si>
    <t>SOLVABILITEITSRATIO'S</t>
  </si>
  <si>
    <t xml:space="preserve">klantenkrediet </t>
  </si>
  <si>
    <t xml:space="preserve">voorraadrotatie </t>
  </si>
  <si>
    <t xml:space="preserve">aantal dagen   </t>
  </si>
  <si>
    <t>Netto schuld</t>
  </si>
  <si>
    <t xml:space="preserve">Financiële schulden </t>
  </si>
  <si>
    <t>Geldbeleggingen en Liquide Middelen</t>
  </si>
  <si>
    <t>INTRESTDEKKING</t>
  </si>
  <si>
    <t>kosten van vreemd vermogen</t>
  </si>
  <si>
    <t>Intrestdekking</t>
  </si>
  <si>
    <t>Dekking VV door de cashflow</t>
  </si>
  <si>
    <t>RENDABILITEITSRATIO'S</t>
  </si>
  <si>
    <t>Aankopen goederen diensten</t>
  </si>
  <si>
    <t>Bruto toegevoegde waarde marge</t>
  </si>
  <si>
    <t>TOEGEVOEGDE WAARDE</t>
  </si>
  <si>
    <t>Investeringen in MVA</t>
  </si>
  <si>
    <t>Aandeel MVA in bruto toegev. Waarde</t>
  </si>
  <si>
    <t>RENDABILITEIT VERKOPEN</t>
  </si>
  <si>
    <t>RENDABILITEIT VERMOGEN</t>
  </si>
  <si>
    <t>Nettoverkoopmarge</t>
  </si>
  <si>
    <t>Eigen vermogen</t>
  </si>
  <si>
    <t xml:space="preserve">Totaal vermogen </t>
  </si>
  <si>
    <t>Kosten uit vreemd vermogen</t>
  </si>
  <si>
    <t>Resultaat voor belastingen</t>
  </si>
  <si>
    <t>Nettorendabilteit Eigen vermogen</t>
  </si>
  <si>
    <t>Nettorendabiliteit Totaal vermogen</t>
  </si>
  <si>
    <t>Bedrijfsresultaat + niet-kaskosten</t>
  </si>
  <si>
    <t>Omzet</t>
  </si>
  <si>
    <t>variabele kosten</t>
  </si>
  <si>
    <t>vaste kosten</t>
  </si>
  <si>
    <t>FINANCIELE HEFBOOM</t>
  </si>
  <si>
    <t>Financiële hefboom</t>
  </si>
  <si>
    <t>RENDABILITEIT BEDRIJFSACTIVA</t>
  </si>
  <si>
    <t xml:space="preserve">Resultaat </t>
  </si>
  <si>
    <t xml:space="preserve">Brutorendement bedrijfsactiva </t>
  </si>
  <si>
    <t>Rotatie bedrijfsactiva</t>
  </si>
  <si>
    <t>INVESTERINGEN</t>
  </si>
  <si>
    <t>FINANCIERINGSWIJZE INVESTERINGEN</t>
  </si>
  <si>
    <t xml:space="preserve">Current ratio </t>
  </si>
  <si>
    <t>ZELFFINANCIERINGSGRAAD</t>
  </si>
  <si>
    <t xml:space="preserve">Overgedragen resultaat </t>
  </si>
  <si>
    <t>Zelffinancieringsgraad</t>
  </si>
  <si>
    <t>SCHULDAFLOSSINGSCAPACITEIT</t>
  </si>
  <si>
    <t>nettoschuld</t>
  </si>
  <si>
    <t>Nettoschuld</t>
  </si>
  <si>
    <t>Schuldaflossingscapaciteit</t>
  </si>
  <si>
    <t>Bezoldigingen</t>
  </si>
  <si>
    <t>Afschrijvingen en waardevermindering</t>
  </si>
  <si>
    <t>Financiële kosten</t>
  </si>
  <si>
    <t>Aandeel in de toegevoegde waarde :</t>
  </si>
  <si>
    <t>Cashflow</t>
  </si>
  <si>
    <t>operationele cashflow</t>
  </si>
  <si>
    <t>vrije cashflow</t>
  </si>
  <si>
    <t>vermogensstroom : toename + afname -</t>
  </si>
  <si>
    <t>Liquiditeit</t>
  </si>
  <si>
    <t>nettobedrijfskapitaal (NBK)</t>
  </si>
  <si>
    <t>behoefte aan NBK (overschot -)</t>
  </si>
  <si>
    <t>nettokas</t>
  </si>
  <si>
    <t>current ratio</t>
  </si>
  <si>
    <t>voorraadrotatie</t>
  </si>
  <si>
    <t>aantal dagen voorraad</t>
  </si>
  <si>
    <t>klantenkrediet</t>
  </si>
  <si>
    <t>Solvabiliteit</t>
  </si>
  <si>
    <t xml:space="preserve">algemene schuldgraad </t>
  </si>
  <si>
    <t>solvabiliteitsgraad</t>
  </si>
  <si>
    <t xml:space="preserve">schuldgraad </t>
  </si>
  <si>
    <t xml:space="preserve">   VV/EV</t>
  </si>
  <si>
    <t xml:space="preserve">   VV/TV</t>
  </si>
  <si>
    <t xml:space="preserve">   EV/VV</t>
  </si>
  <si>
    <t xml:space="preserve">   EV/TV</t>
  </si>
  <si>
    <t>zelffinancieringsgraad</t>
  </si>
  <si>
    <t>intrestdekking</t>
  </si>
  <si>
    <t>dekking VV door CF</t>
  </si>
  <si>
    <t>schuldaflossingscapaciteit</t>
  </si>
  <si>
    <t>Rendabiliteit</t>
  </si>
  <si>
    <t>aandeel in toegevoegde waarde</t>
  </si>
  <si>
    <t xml:space="preserve">   bezoldigingen</t>
  </si>
  <si>
    <t xml:space="preserve">   afschrijving en waardevermindering</t>
  </si>
  <si>
    <t xml:space="preserve">   financiële kosten</t>
  </si>
  <si>
    <t xml:space="preserve">   belastingen</t>
  </si>
  <si>
    <t>bruto toegevoegde waarde</t>
  </si>
  <si>
    <t>bruto toegevoegde waarde  marge</t>
  </si>
  <si>
    <t>netto rendabiliteit EV</t>
  </si>
  <si>
    <t>netto rendabiliteit TV</t>
  </si>
  <si>
    <t>bruto verkoopmarge</t>
  </si>
  <si>
    <t>netto verkoopmarge</t>
  </si>
  <si>
    <t>brutorendement bedrijfsactiva</t>
  </si>
  <si>
    <t>rotatie bedrijfsactiva</t>
  </si>
  <si>
    <t>CASHFLOW - DIRECTE METHODE</t>
  </si>
  <si>
    <t>SAMENVATTENDE TABEL FINANCIELE ANALYSE</t>
  </si>
  <si>
    <t>Behoefte + of overschot - werkkapitaal *</t>
  </si>
  <si>
    <t>Managerial Balance sheet (MBS)</t>
  </si>
  <si>
    <t>netto vaste activa</t>
  </si>
  <si>
    <t>behoefte werkkapitaal</t>
  </si>
  <si>
    <t>liquide middelen</t>
  </si>
  <si>
    <t>totaal actief</t>
  </si>
  <si>
    <t xml:space="preserve">leningen lange termijn </t>
  </si>
  <si>
    <t>leningen korte termijn</t>
  </si>
  <si>
    <t>overschot werkkapitaal</t>
  </si>
  <si>
    <t>totaal passief</t>
  </si>
  <si>
    <t xml:space="preserve">                                                   CF uit operationele activiteiten (stap 2)</t>
  </si>
  <si>
    <t>Machines</t>
  </si>
  <si>
    <t>Lening Machines</t>
  </si>
  <si>
    <t>MACHINES</t>
  </si>
  <si>
    <t>Voorschot 10 %</t>
  </si>
  <si>
    <t xml:space="preserve">Omzet </t>
  </si>
  <si>
    <t>Krediet/m</t>
  </si>
  <si>
    <t>klanten</t>
  </si>
  <si>
    <t>VERKOOP</t>
  </si>
  <si>
    <t>AANKOOP</t>
  </si>
  <si>
    <t>krediet/m</t>
  </si>
  <si>
    <t>leverancier</t>
  </si>
  <si>
    <t>Verkoop machine</t>
  </si>
  <si>
    <t>correctie minderwaarden</t>
  </si>
  <si>
    <t>bedrag of breuk ingeven</t>
  </si>
  <si>
    <t>op balans terug te vinden</t>
  </si>
  <si>
    <t>aantal dagen exploitatiecyclus</t>
  </si>
  <si>
    <t>break even omzet</t>
  </si>
  <si>
    <t>financiële hefboom multiplicator</t>
  </si>
  <si>
    <t>graad financiële hefboom</t>
  </si>
  <si>
    <t>bruto rendabiliteit activa</t>
  </si>
  <si>
    <t>netto rendabiliteit activa</t>
  </si>
  <si>
    <t>mutatie liquide middelen (directe)</t>
  </si>
  <si>
    <t>aantal dagen in exploitatie cyclus</t>
  </si>
  <si>
    <t>Graad van financiële hefboom</t>
  </si>
  <si>
    <t>RENDABILITEIT ACTIVA</t>
  </si>
  <si>
    <t>bruto bedrijfsresultaat (EBITDA)</t>
  </si>
  <si>
    <t>totaal activa</t>
  </si>
  <si>
    <t>Bruto rendement activa</t>
  </si>
  <si>
    <t>Netto rendement activa</t>
  </si>
  <si>
    <t>Minderwaarde verkoop mva</t>
  </si>
  <si>
    <t>Afschrijvingen en waardeverminderingen</t>
  </si>
  <si>
    <t>Overige Materiële Vaste Activa</t>
  </si>
  <si>
    <t>desinvestering</t>
  </si>
  <si>
    <t>lange termijnschuldgraad</t>
  </si>
  <si>
    <t>Vreemd Vermogen LT</t>
  </si>
  <si>
    <t>Lange termijnschuldgraad (VVLT/EV)</t>
  </si>
  <si>
    <t>lange termijn solvabiliteitsgraad</t>
  </si>
  <si>
    <t>Lange termijn solvabiliteitsgraad</t>
  </si>
  <si>
    <t>EV/VVLT</t>
  </si>
  <si>
    <t>Netto financiële schuld</t>
  </si>
  <si>
    <t>NETTO FINANCIELE SCHULD</t>
  </si>
  <si>
    <t>netto financiële schuldgraad</t>
  </si>
  <si>
    <t>Netto financiële schuldgraad</t>
  </si>
  <si>
    <t>bruto rendabiliteit EV</t>
  </si>
  <si>
    <t>EV</t>
  </si>
  <si>
    <t>Bruto rendabiliteit EV</t>
  </si>
  <si>
    <t xml:space="preserve">Graad van operationele hefboom </t>
  </si>
  <si>
    <t>graad van operationele hefboom</t>
  </si>
  <si>
    <t xml:space="preserve">   materiële vaste activa</t>
  </si>
  <si>
    <t>Nettorendabiliteit totaal activa</t>
  </si>
  <si>
    <t>Resultaat vóór belastingen</t>
  </si>
  <si>
    <t>Cashflow van het eigen vermogen</t>
  </si>
  <si>
    <t>cashflow van het eigen vermogen</t>
  </si>
  <si>
    <t>bedrijfsresultaat (EBIT)</t>
  </si>
  <si>
    <t>netto financiële schuld ratio</t>
  </si>
  <si>
    <t>Netto financiële schuld ratio</t>
  </si>
  <si>
    <t>Klanten</t>
  </si>
  <si>
    <t>65 % van de verkopen</t>
  </si>
  <si>
    <t>Algemene onkosten</t>
  </si>
  <si>
    <t>zie "Details"</t>
  </si>
  <si>
    <t>Personeel</t>
  </si>
  <si>
    <t>Personeelsschuld</t>
  </si>
  <si>
    <t>Overige kosten</t>
  </si>
  <si>
    <t>jaarlijkse stijging 3 %</t>
  </si>
  <si>
    <t>Tarief 25 %</t>
  </si>
  <si>
    <t>Machine</t>
  </si>
  <si>
    <t>10 jaar</t>
  </si>
  <si>
    <t>tarief 5 %</t>
  </si>
  <si>
    <t>jaarlijkse stijging 5 %</t>
  </si>
  <si>
    <t xml:space="preserve">intrest </t>
  </si>
  <si>
    <t>TOEPASSING BUDGETTERING</t>
  </si>
  <si>
    <t>Leveranciers Algemenen onkosten</t>
  </si>
  <si>
    <t>betaalbaar contant</t>
  </si>
  <si>
    <t>betaalbaar onmiddellijk</t>
  </si>
  <si>
    <t>Afschrijving en duurtijd lening</t>
  </si>
  <si>
    <t>Aankopen goederen</t>
  </si>
  <si>
    <t>jaarlijkse stijging</t>
  </si>
  <si>
    <t>% Vast</t>
  </si>
  <si>
    <t>Jaarbasis arbeider</t>
  </si>
  <si>
    <t>Jaarbasis bedienden</t>
  </si>
  <si>
    <t>Informatica materiaal</t>
  </si>
  <si>
    <t>Inrichting kantoren</t>
  </si>
  <si>
    <t>eigen middelen</t>
  </si>
  <si>
    <t>wordt ontvangen per 1 december</t>
  </si>
  <si>
    <t xml:space="preserve"> betaalbaar 45 dagen</t>
  </si>
  <si>
    <t>Inrichting  kantoren</t>
  </si>
  <si>
    <t>Parameters</t>
  </si>
  <si>
    <t>Leenbedrag</t>
  </si>
  <si>
    <t>Jaarlijkse rente</t>
  </si>
  <si>
    <t>Looptijd (jaren)</t>
  </si>
  <si>
    <t>Startdatum lening</t>
  </si>
  <si>
    <t>Eerste betaaldatum</t>
  </si>
  <si>
    <t>Aantal maanden</t>
  </si>
  <si>
    <t>Maandrente</t>
  </si>
  <si>
    <t>Maandelijkse betaling (annuïteit)</t>
  </si>
  <si>
    <t>Periode</t>
  </si>
  <si>
    <t>Datum</t>
  </si>
  <si>
    <t>Begin saldo</t>
  </si>
  <si>
    <t>Betaling</t>
  </si>
  <si>
    <t>Kapitaal</t>
  </si>
  <si>
    <t>Eind saldo</t>
  </si>
  <si>
    <t>Totalen (over looptijd)</t>
  </si>
  <si>
    <t>Totale betalingen</t>
  </si>
  <si>
    <t>Totale interest</t>
  </si>
  <si>
    <t>Totale kapitaalaflossing</t>
  </si>
  <si>
    <t>Jaarlijkse aflossing</t>
  </si>
  <si>
    <t>Jaar 4</t>
  </si>
  <si>
    <t>Jaar 5</t>
  </si>
  <si>
    <t>Jaar 6</t>
  </si>
  <si>
    <t>Lening</t>
  </si>
  <si>
    <t>Jaarlijkse Intrest</t>
  </si>
  <si>
    <t>Maandelijkse aflossing</t>
  </si>
  <si>
    <t>30% van de lening</t>
  </si>
  <si>
    <t>Klanten product A</t>
  </si>
  <si>
    <t xml:space="preserve">80 % van de omzet </t>
  </si>
  <si>
    <t>vervaldatum 30 dagen</t>
  </si>
  <si>
    <t>Klanten product B</t>
  </si>
  <si>
    <t xml:space="preserve">20 % van de omzet  </t>
  </si>
  <si>
    <t>contante verkopen</t>
  </si>
  <si>
    <t>D</t>
  </si>
  <si>
    <t>C</t>
  </si>
  <si>
    <t xml:space="preserve">D </t>
  </si>
  <si>
    <t>31/12/N1</t>
  </si>
  <si>
    <t>N2</t>
  </si>
  <si>
    <t>N3</t>
  </si>
  <si>
    <t>31/12/N2</t>
  </si>
  <si>
    <t>Bank (door KL)</t>
  </si>
  <si>
    <t>Contant</t>
  </si>
  <si>
    <t>KL</t>
  </si>
  <si>
    <t>Cash</t>
  </si>
  <si>
    <t>KL eind Bkj</t>
  </si>
  <si>
    <t>31/12/N3</t>
  </si>
  <si>
    <t>Control</t>
  </si>
  <si>
    <t>Bank (door L)</t>
  </si>
  <si>
    <t>L eind Bkj</t>
  </si>
  <si>
    <t>L</t>
  </si>
  <si>
    <t>Jaarlijkse stijging</t>
  </si>
  <si>
    <t>80% betaalbaar 30 dagen</t>
  </si>
  <si>
    <t>VA voorschot</t>
  </si>
  <si>
    <t>VA direct betaald</t>
  </si>
  <si>
    <t>Personeelkosten</t>
  </si>
  <si>
    <t>Betaling 10 % voorschot</t>
  </si>
  <si>
    <t>Controle T</t>
  </si>
  <si>
    <t>Venn. Belasting</t>
  </si>
  <si>
    <t>Subsidies</t>
  </si>
  <si>
    <t>d =B297/B298</t>
  </si>
  <si>
    <t>e==365/B299</t>
  </si>
  <si>
    <t>Berekening</t>
  </si>
  <si>
    <t>Excel</t>
  </si>
  <si>
    <t>Aflossingberekening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</si>
</sst>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€&quot;\ #,##0.00;[Red]&quot;€&quot;\ \-#,##0.00"/>
    <numFmt numFmtId="164" formatCode="#,##0.00\ _€"/>
    <numFmt numFmtId="165" formatCode="[$EUR ]#,##0.00_-"/>
    <numFmt numFmtId="166" formatCode="dd/mm/yyyy"/>
    <numFmt numFmtId="167" formatCode="0.000000%"/>
    <numFmt numFmtId="168" formatCode="&quot;€&quot;\ #,##0.000000"/>
    <numFmt numFmtId="169" formatCode="&quot;€&quot;\ #,##0.00"/>
    <numFmt numFmtId="170" formatCode="0.0000"/>
  </numFmts>
  <fonts count="4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9"/>
      <color theme="8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10"/>
      <color theme="9" tint="-0.499984740745262"/>
      <name val="Calibri"/>
      <family val="2"/>
      <scheme val="minor"/>
    </font>
    <font>
      <sz val="10"/>
      <color theme="9" tint="-0.499984740745262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8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2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4"/>
      <color theme="8"/>
      <name val="Calibri"/>
      <family val="2"/>
      <scheme val="minor"/>
    </font>
    <font>
      <b/>
      <u/>
      <sz val="12"/>
      <color theme="8" tint="-0.249977111117893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2F5597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66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49">
    <xf numFmtId="0" fontId="0" fillId="0" borderId="0" xfId="0"/>
    <xf numFmtId="4" fontId="1" fillId="0" borderId="0" xfId="0" applyNumberFormat="1" applyFont="1"/>
    <xf numFmtId="4" fontId="2" fillId="0" borderId="0" xfId="0" applyNumberFormat="1" applyFont="1"/>
    <xf numFmtId="4" fontId="0" fillId="0" borderId="0" xfId="0" applyNumberFormat="1"/>
    <xf numFmtId="1" fontId="1" fillId="0" borderId="0" xfId="0" applyNumberFormat="1" applyFont="1"/>
    <xf numFmtId="4" fontId="2" fillId="0" borderId="0" xfId="0" applyNumberFormat="1" applyFont="1" applyAlignment="1">
      <alignment horizontal="center"/>
    </xf>
    <xf numFmtId="4" fontId="4" fillId="0" borderId="0" xfId="0" applyNumberFormat="1" applyFont="1"/>
    <xf numFmtId="4" fontId="4" fillId="0" borderId="1" xfId="0" applyNumberFormat="1" applyFont="1" applyBorder="1"/>
    <xf numFmtId="4" fontId="4" fillId="0" borderId="6" xfId="0" applyNumberFormat="1" applyFont="1" applyBorder="1"/>
    <xf numFmtId="4" fontId="4" fillId="0" borderId="7" xfId="0" applyNumberFormat="1" applyFont="1" applyBorder="1"/>
    <xf numFmtId="4" fontId="6" fillId="0" borderId="0" xfId="0" applyNumberFormat="1" applyFont="1"/>
    <xf numFmtId="4" fontId="6" fillId="0" borderId="2" xfId="0" applyNumberFormat="1" applyFont="1" applyBorder="1" applyAlignment="1">
      <alignment horizontal="center"/>
    </xf>
    <xf numFmtId="4" fontId="4" fillId="0" borderId="12" xfId="0" applyNumberFormat="1" applyFont="1" applyBorder="1"/>
    <xf numFmtId="4" fontId="4" fillId="0" borderId="4" xfId="0" applyNumberFormat="1" applyFont="1" applyBorder="1"/>
    <xf numFmtId="4" fontId="4" fillId="0" borderId="11" xfId="0" applyNumberFormat="1" applyFont="1" applyBorder="1"/>
    <xf numFmtId="4" fontId="4" fillId="0" borderId="6" xfId="0" applyNumberFormat="1" applyFont="1" applyBorder="1" applyAlignment="1">
      <alignment horizontal="center"/>
    </xf>
    <xf numFmtId="1" fontId="4" fillId="0" borderId="0" xfId="0" applyNumberFormat="1" applyFont="1"/>
    <xf numFmtId="4" fontId="4" fillId="0" borderId="5" xfId="0" applyNumberFormat="1" applyFont="1" applyBorder="1"/>
    <xf numFmtId="4" fontId="4" fillId="0" borderId="1" xfId="0" applyNumberFormat="1" applyFont="1" applyBorder="1" applyAlignment="1">
      <alignment horizontal="center"/>
    </xf>
    <xf numFmtId="1" fontId="0" fillId="0" borderId="0" xfId="0" applyNumberFormat="1"/>
    <xf numFmtId="4" fontId="8" fillId="0" borderId="0" xfId="0" applyNumberFormat="1" applyFont="1"/>
    <xf numFmtId="4" fontId="5" fillId="0" borderId="0" xfId="0" applyNumberFormat="1" applyFont="1"/>
    <xf numFmtId="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4" fontId="9" fillId="0" borderId="0" xfId="0" applyNumberFormat="1" applyFont="1"/>
    <xf numFmtId="4" fontId="2" fillId="0" borderId="7" xfId="0" applyNumberFormat="1" applyFont="1" applyBorder="1"/>
    <xf numFmtId="4" fontId="7" fillId="0" borderId="7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8" fillId="0" borderId="2" xfId="0" applyNumberFormat="1" applyFont="1" applyBorder="1" applyAlignment="1">
      <alignment horizontal="center"/>
    </xf>
    <xf numFmtId="4" fontId="6" fillId="0" borderId="9" xfId="0" applyNumberFormat="1" applyFont="1" applyBorder="1"/>
    <xf numFmtId="4" fontId="6" fillId="0" borderId="2" xfId="0" applyNumberFormat="1" applyFont="1" applyBorder="1"/>
    <xf numFmtId="1" fontId="2" fillId="0" borderId="2" xfId="0" applyNumberFormat="1" applyFont="1" applyBorder="1" applyAlignment="1">
      <alignment horizontal="center"/>
    </xf>
    <xf numFmtId="4" fontId="2" fillId="0" borderId="1" xfId="0" applyNumberFormat="1" applyFont="1" applyBorder="1"/>
    <xf numFmtId="4" fontId="8" fillId="0" borderId="2" xfId="0" applyNumberFormat="1" applyFont="1" applyBorder="1"/>
    <xf numFmtId="4" fontId="4" fillId="0" borderId="0" xfId="0" applyNumberFormat="1" applyFont="1" applyAlignment="1">
      <alignment horizontal="center"/>
    </xf>
    <xf numFmtId="4" fontId="8" fillId="0" borderId="6" xfId="0" applyNumberFormat="1" applyFont="1" applyBorder="1" applyAlignment="1">
      <alignment horizontal="center"/>
    </xf>
    <xf numFmtId="4" fontId="8" fillId="0" borderId="7" xfId="0" applyNumberFormat="1" applyFont="1" applyBorder="1" applyAlignment="1">
      <alignment horizontal="center"/>
    </xf>
    <xf numFmtId="4" fontId="2" fillId="0" borderId="6" xfId="0" applyNumberFormat="1" applyFont="1" applyBorder="1"/>
    <xf numFmtId="1" fontId="6" fillId="0" borderId="0" xfId="0" applyNumberFormat="1" applyFont="1"/>
    <xf numFmtId="4" fontId="2" fillId="0" borderId="1" xfId="0" applyNumberFormat="1" applyFont="1" applyBorder="1" applyAlignment="1">
      <alignment horizontal="center"/>
    </xf>
    <xf numFmtId="4" fontId="2" fillId="0" borderId="8" xfId="0" applyNumberFormat="1" applyFont="1" applyBorder="1"/>
    <xf numFmtId="4" fontId="2" fillId="0" borderId="2" xfId="0" applyNumberFormat="1" applyFont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2" fillId="0" borderId="8" xfId="0" applyNumberFormat="1" applyFont="1" applyBorder="1" applyAlignment="1">
      <alignment horizontal="center"/>
    </xf>
    <xf numFmtId="4" fontId="8" fillId="0" borderId="10" xfId="0" applyNumberFormat="1" applyFont="1" applyBorder="1" applyAlignment="1">
      <alignment horizontal="center"/>
    </xf>
    <xf numFmtId="4" fontId="8" fillId="0" borderId="1" xfId="0" applyNumberFormat="1" applyFont="1" applyBorder="1" applyAlignment="1">
      <alignment horizontal="center"/>
    </xf>
    <xf numFmtId="4" fontId="2" fillId="0" borderId="4" xfId="0" applyNumberFormat="1" applyFont="1" applyBorder="1" applyAlignment="1">
      <alignment horizontal="center"/>
    </xf>
    <xf numFmtId="4" fontId="2" fillId="0" borderId="5" xfId="0" applyNumberFormat="1" applyFont="1" applyBorder="1" applyAlignment="1">
      <alignment horizontal="center"/>
    </xf>
    <xf numFmtId="4" fontId="10" fillId="0" borderId="0" xfId="0" applyNumberFormat="1" applyFont="1"/>
    <xf numFmtId="4" fontId="2" fillId="0" borderId="13" xfId="0" applyNumberFormat="1" applyFont="1" applyBorder="1"/>
    <xf numFmtId="4" fontId="2" fillId="0" borderId="3" xfId="0" applyNumberFormat="1" applyFont="1" applyBorder="1"/>
    <xf numFmtId="4" fontId="6" fillId="0" borderId="9" xfId="0" applyNumberFormat="1" applyFont="1" applyBorder="1" applyAlignment="1">
      <alignment horizontal="center"/>
    </xf>
    <xf numFmtId="4" fontId="11" fillId="0" borderId="0" xfId="0" applyNumberFormat="1" applyFont="1"/>
    <xf numFmtId="4" fontId="2" fillId="0" borderId="2" xfId="0" applyNumberFormat="1" applyFont="1" applyBorder="1"/>
    <xf numFmtId="4" fontId="12" fillId="0" borderId="0" xfId="0" applyNumberFormat="1" applyFont="1"/>
    <xf numFmtId="4" fontId="13" fillId="0" borderId="0" xfId="0" applyNumberFormat="1" applyFont="1"/>
    <xf numFmtId="1" fontId="2" fillId="0" borderId="0" xfId="0" applyNumberFormat="1" applyFont="1"/>
    <xf numFmtId="4" fontId="14" fillId="0" borderId="0" xfId="0" applyNumberFormat="1" applyFont="1"/>
    <xf numFmtId="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4" fontId="12" fillId="0" borderId="2" xfId="0" applyNumberFormat="1" applyFont="1" applyBorder="1"/>
    <xf numFmtId="4" fontId="2" fillId="0" borderId="4" xfId="0" applyNumberFormat="1" applyFont="1" applyBorder="1"/>
    <xf numFmtId="4" fontId="7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4" fontId="7" fillId="0" borderId="1" xfId="0" applyNumberFormat="1" applyFont="1" applyBorder="1" applyAlignment="1">
      <alignment horizontal="center"/>
    </xf>
    <xf numFmtId="4" fontId="2" fillId="0" borderId="5" xfId="0" applyNumberFormat="1" applyFont="1" applyBorder="1"/>
    <xf numFmtId="4" fontId="2" fillId="0" borderId="11" xfId="0" applyNumberFormat="1" applyFont="1" applyBorder="1"/>
    <xf numFmtId="4" fontId="2" fillId="0" borderId="12" xfId="0" applyNumberFormat="1" applyFont="1" applyBorder="1"/>
    <xf numFmtId="1" fontId="5" fillId="0" borderId="0" xfId="0" applyNumberFormat="1" applyFont="1"/>
    <xf numFmtId="4" fontId="16" fillId="0" borderId="0" xfId="0" applyNumberFormat="1" applyFont="1"/>
    <xf numFmtId="10" fontId="4" fillId="0" borderId="0" xfId="0" applyNumberFormat="1" applyFont="1" applyAlignment="1">
      <alignment horizontal="center"/>
    </xf>
    <xf numFmtId="4" fontId="17" fillId="0" borderId="0" xfId="0" applyNumberFormat="1" applyFont="1"/>
    <xf numFmtId="4" fontId="18" fillId="0" borderId="0" xfId="0" applyNumberFormat="1" applyFont="1"/>
    <xf numFmtId="4" fontId="4" fillId="0" borderId="9" xfId="0" applyNumberFormat="1" applyFont="1" applyBorder="1"/>
    <xf numFmtId="1" fontId="15" fillId="0" borderId="13" xfId="0" applyNumberFormat="1" applyFont="1" applyBorder="1" applyAlignment="1">
      <alignment horizontal="center"/>
    </xf>
    <xf numFmtId="1" fontId="15" fillId="0" borderId="4" xfId="0" applyNumberFormat="1" applyFont="1" applyBorder="1" applyAlignment="1">
      <alignment horizontal="center"/>
    </xf>
    <xf numFmtId="4" fontId="5" fillId="0" borderId="9" xfId="0" applyNumberFormat="1" applyFont="1" applyBorder="1"/>
    <xf numFmtId="4" fontId="4" fillId="0" borderId="9" xfId="0" applyNumberFormat="1" applyFont="1" applyBorder="1" applyAlignment="1">
      <alignment horizontal="center"/>
    </xf>
    <xf numFmtId="10" fontId="2" fillId="0" borderId="0" xfId="0" applyNumberFormat="1" applyFont="1" applyAlignment="1">
      <alignment horizontal="center"/>
    </xf>
    <xf numFmtId="4" fontId="4" fillId="0" borderId="13" xfId="0" applyNumberFormat="1" applyFont="1" applyBorder="1"/>
    <xf numFmtId="4" fontId="4" fillId="0" borderId="17" xfId="0" applyNumberFormat="1" applyFont="1" applyBorder="1"/>
    <xf numFmtId="4" fontId="4" fillId="0" borderId="8" xfId="0" applyNumberFormat="1" applyFont="1" applyBorder="1"/>
    <xf numFmtId="4" fontId="4" fillId="0" borderId="8" xfId="0" applyNumberFormat="1" applyFont="1" applyBorder="1" applyAlignment="1">
      <alignment horizontal="center"/>
    </xf>
    <xf numFmtId="4" fontId="4" fillId="0" borderId="10" xfId="0" applyNumberFormat="1" applyFont="1" applyBorder="1" applyAlignment="1">
      <alignment horizontal="center"/>
    </xf>
    <xf numFmtId="4" fontId="8" fillId="0" borderId="9" xfId="0" applyNumberFormat="1" applyFont="1" applyBorder="1" applyAlignment="1">
      <alignment horizontal="center"/>
    </xf>
    <xf numFmtId="1" fontId="6" fillId="0" borderId="9" xfId="0" applyNumberFormat="1" applyFont="1" applyBorder="1" applyAlignment="1">
      <alignment horizontal="center"/>
    </xf>
    <xf numFmtId="1" fontId="6" fillId="0" borderId="18" xfId="0" applyNumberFormat="1" applyFont="1" applyBorder="1" applyAlignment="1">
      <alignment horizontal="center"/>
    </xf>
    <xf numFmtId="1" fontId="6" fillId="0" borderId="19" xfId="0" applyNumberFormat="1" applyFont="1" applyBorder="1" applyAlignment="1">
      <alignment horizontal="center"/>
    </xf>
    <xf numFmtId="1" fontId="6" fillId="0" borderId="11" xfId="0" applyNumberFormat="1" applyFont="1" applyBorder="1" applyAlignment="1">
      <alignment horizontal="center"/>
    </xf>
    <xf numFmtId="1" fontId="6" fillId="0" borderId="10" xfId="0" applyNumberFormat="1" applyFont="1" applyBorder="1" applyAlignment="1">
      <alignment horizontal="center"/>
    </xf>
    <xf numFmtId="4" fontId="4" fillId="0" borderId="7" xfId="0" applyNumberFormat="1" applyFont="1" applyBorder="1" applyAlignment="1">
      <alignment horizontal="center"/>
    </xf>
    <xf numFmtId="4" fontId="4" fillId="0" borderId="15" xfId="0" applyNumberFormat="1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4" fontId="4" fillId="0" borderId="16" xfId="0" applyNumberFormat="1" applyFont="1" applyBorder="1" applyAlignment="1">
      <alignment horizontal="center"/>
    </xf>
    <xf numFmtId="4" fontId="6" fillId="0" borderId="14" xfId="0" applyNumberFormat="1" applyFont="1" applyBorder="1" applyAlignment="1">
      <alignment horizontal="center"/>
    </xf>
    <xf numFmtId="4" fontId="4" fillId="0" borderId="2" xfId="0" applyNumberFormat="1" applyFont="1" applyBorder="1"/>
    <xf numFmtId="4" fontId="4" fillId="0" borderId="10" xfId="0" applyNumberFormat="1" applyFont="1" applyBorder="1"/>
    <xf numFmtId="4" fontId="4" fillId="0" borderId="16" xfId="0" applyNumberFormat="1" applyFont="1" applyBorder="1"/>
    <xf numFmtId="4" fontId="6" fillId="0" borderId="10" xfId="0" applyNumberFormat="1" applyFont="1" applyBorder="1" applyAlignment="1">
      <alignment horizontal="center"/>
    </xf>
    <xf numFmtId="4" fontId="6" fillId="0" borderId="8" xfId="0" applyNumberFormat="1" applyFont="1" applyBorder="1" applyAlignment="1">
      <alignment horizontal="center"/>
    </xf>
    <xf numFmtId="0" fontId="4" fillId="0" borderId="0" xfId="0" applyFont="1"/>
    <xf numFmtId="4" fontId="20" fillId="0" borderId="0" xfId="0" applyNumberFormat="1" applyFont="1"/>
    <xf numFmtId="4" fontId="21" fillId="0" borderId="0" xfId="0" applyNumberFormat="1" applyFont="1"/>
    <xf numFmtId="1" fontId="6" fillId="0" borderId="2" xfId="0" applyNumberFormat="1" applyFont="1" applyBorder="1" applyAlignment="1">
      <alignment horizontal="center"/>
    </xf>
    <xf numFmtId="4" fontId="6" fillId="0" borderId="7" xfId="0" applyNumberFormat="1" applyFont="1" applyBorder="1" applyAlignment="1">
      <alignment horizontal="center"/>
    </xf>
    <xf numFmtId="4" fontId="5" fillId="0" borderId="7" xfId="0" applyNumberFormat="1" applyFont="1" applyBorder="1" applyAlignment="1">
      <alignment horizontal="center"/>
    </xf>
    <xf numFmtId="4" fontId="6" fillId="0" borderId="6" xfId="0" applyNumberFormat="1" applyFont="1" applyBorder="1" applyAlignment="1">
      <alignment horizontal="center"/>
    </xf>
    <xf numFmtId="4" fontId="9" fillId="0" borderId="0" xfId="0" applyNumberFormat="1" applyFont="1" applyAlignment="1">
      <alignment horizontal="center"/>
    </xf>
    <xf numFmtId="4" fontId="9" fillId="0" borderId="0" xfId="0" applyNumberFormat="1" applyFont="1" applyAlignment="1">
      <alignment horizontal="left"/>
    </xf>
    <xf numFmtId="4" fontId="19" fillId="0" borderId="0" xfId="0" applyNumberFormat="1" applyFont="1"/>
    <xf numFmtId="4" fontId="6" fillId="0" borderId="4" xfId="0" applyNumberFormat="1" applyFont="1" applyBorder="1"/>
    <xf numFmtId="4" fontId="6" fillId="0" borderId="16" xfId="0" applyNumberFormat="1" applyFont="1" applyBorder="1" applyAlignment="1">
      <alignment horizontal="center"/>
    </xf>
    <xf numFmtId="4" fontId="6" fillId="0" borderId="15" xfId="0" applyNumberFormat="1" applyFont="1" applyBorder="1" applyAlignment="1">
      <alignment horizontal="center"/>
    </xf>
    <xf numFmtId="4" fontId="6" fillId="0" borderId="4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4" fontId="4" fillId="0" borderId="4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horizontal="center"/>
    </xf>
    <xf numFmtId="4" fontId="23" fillId="0" borderId="0" xfId="0" applyNumberFormat="1" applyFont="1"/>
    <xf numFmtId="4" fontId="4" fillId="0" borderId="3" xfId="0" applyNumberFormat="1" applyFont="1" applyBorder="1"/>
    <xf numFmtId="10" fontId="8" fillId="0" borderId="0" xfId="0" applyNumberFormat="1" applyFont="1"/>
    <xf numFmtId="4" fontId="24" fillId="0" borderId="0" xfId="0" applyNumberFormat="1" applyFont="1"/>
    <xf numFmtId="4" fontId="24" fillId="0" borderId="7" xfId="0" applyNumberFormat="1" applyFont="1" applyBorder="1"/>
    <xf numFmtId="4" fontId="25" fillId="0" borderId="0" xfId="0" applyNumberFormat="1" applyFont="1"/>
    <xf numFmtId="4" fontId="2" fillId="0" borderId="20" xfId="0" applyNumberFormat="1" applyFont="1" applyBorder="1"/>
    <xf numFmtId="4" fontId="6" fillId="2" borderId="9" xfId="0" applyNumberFormat="1" applyFont="1" applyFill="1" applyBorder="1" applyAlignment="1">
      <alignment horizontal="center"/>
    </xf>
    <xf numFmtId="4" fontId="6" fillId="2" borderId="2" xfId="0" applyNumberFormat="1" applyFont="1" applyFill="1" applyBorder="1" applyAlignment="1">
      <alignment horizontal="center"/>
    </xf>
    <xf numFmtId="4" fontId="6" fillId="2" borderId="14" xfId="0" applyNumberFormat="1" applyFont="1" applyFill="1" applyBorder="1" applyAlignment="1">
      <alignment horizontal="center"/>
    </xf>
    <xf numFmtId="4" fontId="6" fillId="3" borderId="2" xfId="0" applyNumberFormat="1" applyFont="1" applyFill="1" applyBorder="1" applyAlignment="1">
      <alignment horizontal="center"/>
    </xf>
    <xf numFmtId="4" fontId="6" fillId="2" borderId="10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4" fontId="4" fillId="2" borderId="14" xfId="0" applyNumberFormat="1" applyFont="1" applyFill="1" applyBorder="1" applyAlignment="1">
      <alignment horizontal="center"/>
    </xf>
    <xf numFmtId="4" fontId="4" fillId="2" borderId="10" xfId="0" applyNumberFormat="1" applyFont="1" applyFill="1" applyBorder="1" applyAlignment="1">
      <alignment horizontal="center"/>
    </xf>
    <xf numFmtId="4" fontId="6" fillId="2" borderId="2" xfId="0" applyNumberFormat="1" applyFont="1" applyFill="1" applyBorder="1"/>
    <xf numFmtId="4" fontId="4" fillId="2" borderId="2" xfId="0" applyNumberFormat="1" applyFont="1" applyFill="1" applyBorder="1"/>
    <xf numFmtId="4" fontId="4" fillId="2" borderId="10" xfId="0" applyNumberFormat="1" applyFont="1" applyFill="1" applyBorder="1"/>
    <xf numFmtId="4" fontId="9" fillId="0" borderId="7" xfId="0" applyNumberFormat="1" applyFont="1" applyBorder="1" applyAlignment="1">
      <alignment horizontal="center"/>
    </xf>
    <xf numFmtId="4" fontId="9" fillId="0" borderId="7" xfId="0" applyNumberFormat="1" applyFont="1" applyBorder="1"/>
    <xf numFmtId="4" fontId="9" fillId="0" borderId="6" xfId="0" applyNumberFormat="1" applyFont="1" applyBorder="1" applyAlignment="1">
      <alignment horizontal="center"/>
    </xf>
    <xf numFmtId="4" fontId="9" fillId="0" borderId="1" xfId="0" applyNumberFormat="1" applyFont="1" applyBorder="1"/>
    <xf numFmtId="4" fontId="6" fillId="2" borderId="11" xfId="0" applyNumberFormat="1" applyFont="1" applyFill="1" applyBorder="1"/>
    <xf numFmtId="4" fontId="8" fillId="2" borderId="2" xfId="0" applyNumberFormat="1" applyFont="1" applyFill="1" applyBorder="1"/>
    <xf numFmtId="4" fontId="8" fillId="2" borderId="2" xfId="0" applyNumberFormat="1" applyFont="1" applyFill="1" applyBorder="1" applyAlignment="1">
      <alignment horizontal="center"/>
    </xf>
    <xf numFmtId="4" fontId="4" fillId="2" borderId="11" xfId="0" applyNumberFormat="1" applyFont="1" applyFill="1" applyBorder="1"/>
    <xf numFmtId="4" fontId="6" fillId="2" borderId="9" xfId="0" applyNumberFormat="1" applyFont="1" applyFill="1" applyBorder="1"/>
    <xf numFmtId="4" fontId="2" fillId="2" borderId="2" xfId="0" applyNumberFormat="1" applyFont="1" applyFill="1" applyBorder="1"/>
    <xf numFmtId="4" fontId="2" fillId="2" borderId="2" xfId="0" applyNumberFormat="1" applyFont="1" applyFill="1" applyBorder="1" applyAlignment="1">
      <alignment horizontal="center"/>
    </xf>
    <xf numFmtId="4" fontId="6" fillId="3" borderId="2" xfId="0" applyNumberFormat="1" applyFont="1" applyFill="1" applyBorder="1"/>
    <xf numFmtId="4" fontId="8" fillId="3" borderId="2" xfId="0" applyNumberFormat="1" applyFont="1" applyFill="1" applyBorder="1"/>
    <xf numFmtId="4" fontId="27" fillId="3" borderId="8" xfId="0" applyNumberFormat="1" applyFont="1" applyFill="1" applyBorder="1"/>
    <xf numFmtId="4" fontId="28" fillId="3" borderId="8" xfId="0" applyNumberFormat="1" applyFont="1" applyFill="1" applyBorder="1"/>
    <xf numFmtId="4" fontId="6" fillId="3" borderId="10" xfId="0" applyNumberFormat="1" applyFont="1" applyFill="1" applyBorder="1" applyAlignment="1">
      <alignment horizontal="center"/>
    </xf>
    <xf numFmtId="4" fontId="6" fillId="4" borderId="16" xfId="0" applyNumberFormat="1" applyFont="1" applyFill="1" applyBorder="1" applyAlignment="1">
      <alignment horizontal="center"/>
    </xf>
    <xf numFmtId="4" fontId="4" fillId="4" borderId="7" xfId="0" applyNumberFormat="1" applyFont="1" applyFill="1" applyBorder="1" applyAlignment="1">
      <alignment horizontal="center"/>
    </xf>
    <xf numFmtId="4" fontId="6" fillId="4" borderId="7" xfId="0" applyNumberFormat="1" applyFont="1" applyFill="1" applyBorder="1" applyAlignment="1">
      <alignment horizontal="center"/>
    </xf>
    <xf numFmtId="4" fontId="8" fillId="2" borderId="9" xfId="0" applyNumberFormat="1" applyFont="1" applyFill="1" applyBorder="1"/>
    <xf numFmtId="4" fontId="8" fillId="2" borderId="10" xfId="0" applyNumberFormat="1" applyFont="1" applyFill="1" applyBorder="1"/>
    <xf numFmtId="4" fontId="1" fillId="0" borderId="20" xfId="0" applyNumberFormat="1" applyFont="1" applyBorder="1" applyAlignment="1">
      <alignment horizontal="center"/>
    </xf>
    <xf numFmtId="10" fontId="2" fillId="0" borderId="0" xfId="0" applyNumberFormat="1" applyFont="1" applyAlignment="1">
      <alignment horizontal="left"/>
    </xf>
    <xf numFmtId="10" fontId="2" fillId="0" borderId="0" xfId="0" applyNumberFormat="1" applyFont="1"/>
    <xf numFmtId="4" fontId="8" fillId="2" borderId="0" xfId="0" applyNumberFormat="1" applyFont="1" applyFill="1"/>
    <xf numFmtId="4" fontId="29" fillId="0" borderId="7" xfId="0" applyNumberFormat="1" applyFont="1" applyBorder="1"/>
    <xf numFmtId="4" fontId="24" fillId="4" borderId="0" xfId="0" applyNumberFormat="1" applyFont="1" applyFill="1"/>
    <xf numFmtId="4" fontId="24" fillId="4" borderId="7" xfId="0" applyNumberFormat="1" applyFont="1" applyFill="1" applyBorder="1"/>
    <xf numFmtId="4" fontId="25" fillId="0" borderId="7" xfId="0" applyNumberFormat="1" applyFont="1" applyBorder="1"/>
    <xf numFmtId="4" fontId="30" fillId="0" borderId="0" xfId="0" applyNumberFormat="1" applyFont="1"/>
    <xf numFmtId="4" fontId="4" fillId="4" borderId="2" xfId="0" applyNumberFormat="1" applyFont="1" applyFill="1" applyBorder="1"/>
    <xf numFmtId="4" fontId="4" fillId="2" borderId="17" xfId="0" applyNumberFormat="1" applyFont="1" applyFill="1" applyBorder="1"/>
    <xf numFmtId="4" fontId="26" fillId="2" borderId="8" xfId="0" applyNumberFormat="1" applyFont="1" applyFill="1" applyBorder="1"/>
    <xf numFmtId="4" fontId="26" fillId="2" borderId="5" xfId="0" applyNumberFormat="1" applyFont="1" applyFill="1" applyBorder="1"/>
    <xf numFmtId="4" fontId="6" fillId="0" borderId="10" xfId="0" applyNumberFormat="1" applyFont="1" applyBorder="1"/>
    <xf numFmtId="10" fontId="4" fillId="0" borderId="0" xfId="1" applyNumberFormat="1" applyFont="1"/>
    <xf numFmtId="4" fontId="26" fillId="2" borderId="10" xfId="0" applyNumberFormat="1" applyFont="1" applyFill="1" applyBorder="1"/>
    <xf numFmtId="4" fontId="4" fillId="0" borderId="20" xfId="0" applyNumberFormat="1" applyFont="1" applyBorder="1"/>
    <xf numFmtId="3" fontId="4" fillId="0" borderId="0" xfId="0" applyNumberFormat="1" applyFont="1" applyAlignment="1">
      <alignment horizontal="center"/>
    </xf>
    <xf numFmtId="3" fontId="4" fillId="0" borderId="2" xfId="0" applyNumberFormat="1" applyFont="1" applyBorder="1" applyAlignment="1">
      <alignment horizontal="center"/>
    </xf>
    <xf numFmtId="4" fontId="4" fillId="4" borderId="0" xfId="0" applyNumberFormat="1" applyFont="1" applyFill="1"/>
    <xf numFmtId="10" fontId="1" fillId="0" borderId="8" xfId="0" applyNumberFormat="1" applyFont="1" applyBorder="1"/>
    <xf numFmtId="4" fontId="9" fillId="0" borderId="6" xfId="0" applyNumberFormat="1" applyFont="1" applyBorder="1"/>
    <xf numFmtId="4" fontId="22" fillId="0" borderId="0" xfId="0" applyNumberFormat="1" applyFont="1" applyAlignment="1">
      <alignment horizontal="center"/>
    </xf>
    <xf numFmtId="4" fontId="31" fillId="7" borderId="2" xfId="0" applyNumberFormat="1" applyFont="1" applyFill="1" applyBorder="1" applyAlignment="1">
      <alignment horizontal="center"/>
    </xf>
    <xf numFmtId="4" fontId="4" fillId="7" borderId="2" xfId="0" applyNumberFormat="1" applyFont="1" applyFill="1" applyBorder="1"/>
    <xf numFmtId="4" fontId="32" fillId="0" borderId="0" xfId="0" applyNumberFormat="1" applyFont="1"/>
    <xf numFmtId="4" fontId="22" fillId="5" borderId="2" xfId="0" applyNumberFormat="1" applyFont="1" applyFill="1" applyBorder="1" applyAlignment="1">
      <alignment horizontal="center"/>
    </xf>
    <xf numFmtId="4" fontId="6" fillId="6" borderId="2" xfId="0" applyNumberFormat="1" applyFont="1" applyFill="1" applyBorder="1"/>
    <xf numFmtId="4" fontId="6" fillId="6" borderId="8" xfId="0" applyNumberFormat="1" applyFont="1" applyFill="1" applyBorder="1"/>
    <xf numFmtId="4" fontId="6" fillId="6" borderId="9" xfId="0" applyNumberFormat="1" applyFont="1" applyFill="1" applyBorder="1"/>
    <xf numFmtId="4" fontId="31" fillId="0" borderId="0" xfId="0" applyNumberFormat="1" applyFont="1" applyAlignment="1">
      <alignment horizontal="center"/>
    </xf>
    <xf numFmtId="4" fontId="22" fillId="3" borderId="2" xfId="0" applyNumberFormat="1" applyFont="1" applyFill="1" applyBorder="1" applyAlignment="1">
      <alignment horizontal="center"/>
    </xf>
    <xf numFmtId="4" fontId="4" fillId="2" borderId="9" xfId="0" applyNumberFormat="1" applyFont="1" applyFill="1" applyBorder="1"/>
    <xf numFmtId="10" fontId="2" fillId="2" borderId="2" xfId="0" applyNumberFormat="1" applyFont="1" applyFill="1" applyBorder="1" applyAlignment="1">
      <alignment horizontal="center"/>
    </xf>
    <xf numFmtId="10" fontId="2" fillId="2" borderId="8" xfId="0" applyNumberFormat="1" applyFont="1" applyFill="1" applyBorder="1" applyAlignment="1">
      <alignment horizontal="center"/>
    </xf>
    <xf numFmtId="4" fontId="4" fillId="7" borderId="9" xfId="0" applyNumberFormat="1" applyFont="1" applyFill="1" applyBorder="1"/>
    <xf numFmtId="4" fontId="2" fillId="7" borderId="2" xfId="0" applyNumberFormat="1" applyFont="1" applyFill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10" fontId="2" fillId="7" borderId="2" xfId="0" applyNumberFormat="1" applyFont="1" applyFill="1" applyBorder="1" applyAlignment="1">
      <alignment horizontal="center"/>
    </xf>
    <xf numFmtId="4" fontId="2" fillId="7" borderId="9" xfId="0" applyNumberFormat="1" applyFont="1" applyFill="1" applyBorder="1" applyAlignment="1">
      <alignment horizontal="center"/>
    </xf>
    <xf numFmtId="4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4" fontId="2" fillId="2" borderId="10" xfId="0" applyNumberFormat="1" applyFont="1" applyFill="1" applyBorder="1" applyAlignment="1">
      <alignment horizontal="center"/>
    </xf>
    <xf numFmtId="4" fontId="4" fillId="8" borderId="9" xfId="0" applyNumberFormat="1" applyFont="1" applyFill="1" applyBorder="1" applyAlignment="1">
      <alignment horizontal="center"/>
    </xf>
    <xf numFmtId="4" fontId="2" fillId="8" borderId="11" xfId="0" applyNumberFormat="1" applyFont="1" applyFill="1" applyBorder="1"/>
    <xf numFmtId="4" fontId="2" fillId="8" borderId="10" xfId="0" applyNumberFormat="1" applyFont="1" applyFill="1" applyBorder="1"/>
    <xf numFmtId="4" fontId="2" fillId="9" borderId="11" xfId="0" applyNumberFormat="1" applyFont="1" applyFill="1" applyBorder="1"/>
    <xf numFmtId="4" fontId="2" fillId="9" borderId="10" xfId="0" applyNumberFormat="1" applyFont="1" applyFill="1" applyBorder="1"/>
    <xf numFmtId="4" fontId="4" fillId="9" borderId="9" xfId="0" applyNumberFormat="1" applyFont="1" applyFill="1" applyBorder="1" applyAlignment="1">
      <alignment horizontal="center"/>
    </xf>
    <xf numFmtId="4" fontId="4" fillId="10" borderId="9" xfId="0" applyNumberFormat="1" applyFont="1" applyFill="1" applyBorder="1" applyAlignment="1">
      <alignment horizontal="center"/>
    </xf>
    <xf numFmtId="4" fontId="2" fillId="10" borderId="11" xfId="0" applyNumberFormat="1" applyFont="1" applyFill="1" applyBorder="1"/>
    <xf numFmtId="4" fontId="2" fillId="10" borderId="10" xfId="0" applyNumberFormat="1" applyFont="1" applyFill="1" applyBorder="1"/>
    <xf numFmtId="10" fontId="2" fillId="0" borderId="6" xfId="0" applyNumberFormat="1" applyFont="1" applyBorder="1"/>
    <xf numFmtId="10" fontId="2" fillId="0" borderId="7" xfId="0" applyNumberFormat="1" applyFont="1" applyBorder="1"/>
    <xf numFmtId="10" fontId="4" fillId="0" borderId="7" xfId="0" applyNumberFormat="1" applyFont="1" applyBorder="1"/>
    <xf numFmtId="4" fontId="26" fillId="0" borderId="2" xfId="0" applyNumberFormat="1" applyFont="1" applyBorder="1"/>
    <xf numFmtId="4" fontId="4" fillId="11" borderId="0" xfId="0" applyNumberFormat="1" applyFont="1" applyFill="1"/>
    <xf numFmtId="4" fontId="6" fillId="12" borderId="2" xfId="0" applyNumberFormat="1" applyFont="1" applyFill="1" applyBorder="1"/>
    <xf numFmtId="4" fontId="24" fillId="12" borderId="9" xfId="0" applyNumberFormat="1" applyFont="1" applyFill="1" applyBorder="1"/>
    <xf numFmtId="4" fontId="24" fillId="12" borderId="2" xfId="0" applyNumberFormat="1" applyFont="1" applyFill="1" applyBorder="1"/>
    <xf numFmtId="4" fontId="4" fillId="12" borderId="2" xfId="0" applyNumberFormat="1" applyFont="1" applyFill="1" applyBorder="1"/>
    <xf numFmtId="4" fontId="4" fillId="12" borderId="9" xfId="0" applyNumberFormat="1" applyFont="1" applyFill="1" applyBorder="1" applyAlignment="1">
      <alignment horizontal="center"/>
    </xf>
    <xf numFmtId="4" fontId="4" fillId="12" borderId="11" xfId="0" applyNumberFormat="1" applyFont="1" applyFill="1" applyBorder="1"/>
    <xf numFmtId="4" fontId="4" fillId="12" borderId="10" xfId="0" applyNumberFormat="1" applyFont="1" applyFill="1" applyBorder="1"/>
    <xf numFmtId="4" fontId="2" fillId="0" borderId="10" xfId="0" applyNumberFormat="1" applyFont="1" applyBorder="1"/>
    <xf numFmtId="4" fontId="2" fillId="12" borderId="2" xfId="0" applyNumberFormat="1" applyFont="1" applyFill="1" applyBorder="1"/>
    <xf numFmtId="4" fontId="2" fillId="12" borderId="10" xfId="0" applyNumberFormat="1" applyFont="1" applyFill="1" applyBorder="1"/>
    <xf numFmtId="4" fontId="4" fillId="6" borderId="2" xfId="0" applyNumberFormat="1" applyFont="1" applyFill="1" applyBorder="1"/>
    <xf numFmtId="4" fontId="2" fillId="6" borderId="2" xfId="0" applyNumberFormat="1" applyFont="1" applyFill="1" applyBorder="1"/>
    <xf numFmtId="4" fontId="2" fillId="6" borderId="2" xfId="0" applyNumberFormat="1" applyFont="1" applyFill="1" applyBorder="1" applyAlignment="1">
      <alignment horizontal="center"/>
    </xf>
    <xf numFmtId="1" fontId="4" fillId="0" borderId="0" xfId="0" applyNumberFormat="1" applyFont="1" applyAlignment="1">
      <alignment horizontal="center"/>
    </xf>
    <xf numFmtId="10" fontId="1" fillId="0" borderId="0" xfId="0" applyNumberFormat="1" applyFont="1"/>
    <xf numFmtId="4" fontId="4" fillId="6" borderId="7" xfId="0" applyNumberFormat="1" applyFont="1" applyFill="1" applyBorder="1"/>
    <xf numFmtId="3" fontId="4" fillId="0" borderId="1" xfId="0" applyNumberFormat="1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3" fontId="4" fillId="0" borderId="7" xfId="0" applyNumberFormat="1" applyFont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13" fontId="4" fillId="13" borderId="0" xfId="0" applyNumberFormat="1" applyFont="1" applyFill="1"/>
    <xf numFmtId="4" fontId="2" fillId="0" borderId="11" xfId="0" applyNumberFormat="1" applyFont="1" applyBorder="1" applyAlignment="1">
      <alignment horizontal="center"/>
    </xf>
    <xf numFmtId="4" fontId="6" fillId="0" borderId="6" xfId="0" applyNumberFormat="1" applyFont="1" applyBorder="1"/>
    <xf numFmtId="3" fontId="6" fillId="0" borderId="6" xfId="0" applyNumberFormat="1" applyFont="1" applyBorder="1" applyAlignment="1">
      <alignment horizontal="center"/>
    </xf>
    <xf numFmtId="3" fontId="4" fillId="0" borderId="6" xfId="0" applyNumberFormat="1" applyFont="1" applyBorder="1"/>
    <xf numFmtId="3" fontId="4" fillId="13" borderId="4" xfId="0" applyNumberFormat="1" applyFont="1" applyFill="1" applyBorder="1"/>
    <xf numFmtId="3" fontId="4" fillId="0" borderId="7" xfId="0" applyNumberFormat="1" applyFont="1" applyBorder="1"/>
    <xf numFmtId="3" fontId="4" fillId="0" borderId="1" xfId="0" applyNumberFormat="1" applyFont="1" applyBorder="1"/>
    <xf numFmtId="3" fontId="4" fillId="0" borderId="8" xfId="0" applyNumberFormat="1" applyFont="1" applyBorder="1"/>
    <xf numFmtId="13" fontId="4" fillId="0" borderId="1" xfId="0" applyNumberFormat="1" applyFont="1" applyBorder="1"/>
    <xf numFmtId="3" fontId="4" fillId="0" borderId="0" xfId="0" applyNumberFormat="1" applyFont="1"/>
    <xf numFmtId="3" fontId="4" fillId="0" borderId="20" xfId="0" applyNumberFormat="1" applyFont="1" applyBorder="1"/>
    <xf numFmtId="4" fontId="4" fillId="14" borderId="2" xfId="0" applyNumberFormat="1" applyFont="1" applyFill="1" applyBorder="1" applyAlignment="1">
      <alignment horizontal="center"/>
    </xf>
    <xf numFmtId="4" fontId="4" fillId="14" borderId="2" xfId="0" applyNumberFormat="1" applyFont="1" applyFill="1" applyBorder="1"/>
    <xf numFmtId="4" fontId="4" fillId="15" borderId="0" xfId="0" applyNumberFormat="1" applyFont="1" applyFill="1"/>
    <xf numFmtId="4" fontId="4" fillId="15" borderId="2" xfId="0" applyNumberFormat="1" applyFont="1" applyFill="1" applyBorder="1"/>
    <xf numFmtId="4" fontId="4" fillId="15" borderId="11" xfId="0" applyNumberFormat="1" applyFont="1" applyFill="1" applyBorder="1"/>
    <xf numFmtId="4" fontId="4" fillId="15" borderId="10" xfId="0" applyNumberFormat="1" applyFont="1" applyFill="1" applyBorder="1"/>
    <xf numFmtId="4" fontId="27" fillId="0" borderId="7" xfId="0" applyNumberFormat="1" applyFont="1" applyBorder="1"/>
    <xf numFmtId="4" fontId="4" fillId="13" borderId="0" xfId="0" applyNumberFormat="1" applyFont="1" applyFill="1"/>
    <xf numFmtId="4" fontId="4" fillId="0" borderId="6" xfId="0" applyNumberFormat="1" applyFont="1" applyBorder="1" applyAlignment="1">
      <alignment horizontal="left"/>
    </xf>
    <xf numFmtId="10" fontId="27" fillId="7" borderId="8" xfId="0" applyNumberFormat="1" applyFont="1" applyFill="1" applyBorder="1" applyAlignment="1">
      <alignment horizontal="center"/>
    </xf>
    <xf numFmtId="10" fontId="27" fillId="7" borderId="20" xfId="0" applyNumberFormat="1" applyFont="1" applyFill="1" applyBorder="1" applyAlignment="1">
      <alignment horizontal="center"/>
    </xf>
    <xf numFmtId="4" fontId="2" fillId="6" borderId="8" xfId="0" applyNumberFormat="1" applyFont="1" applyFill="1" applyBorder="1"/>
    <xf numFmtId="10" fontId="2" fillId="0" borderId="8" xfId="0" applyNumberFormat="1" applyFont="1" applyBorder="1"/>
    <xf numFmtId="4" fontId="4" fillId="2" borderId="5" xfId="0" applyNumberFormat="1" applyFont="1" applyFill="1" applyBorder="1"/>
    <xf numFmtId="4" fontId="6" fillId="2" borderId="17" xfId="0" applyNumberFormat="1" applyFont="1" applyFill="1" applyBorder="1"/>
    <xf numFmtId="4" fontId="8" fillId="2" borderId="10" xfId="0" applyNumberFormat="1" applyFont="1" applyFill="1" applyBorder="1" applyAlignment="1">
      <alignment horizontal="center"/>
    </xf>
    <xf numFmtId="4" fontId="8" fillId="0" borderId="4" xfId="0" applyNumberFormat="1" applyFont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6" fillId="16" borderId="2" xfId="0" applyNumberFormat="1" applyFont="1" applyFill="1" applyBorder="1"/>
    <xf numFmtId="1" fontId="33" fillId="0" borderId="0" xfId="0" applyNumberFormat="1" applyFont="1" applyAlignment="1">
      <alignment horizontal="center"/>
    </xf>
    <xf numFmtId="10" fontId="27" fillId="7" borderId="2" xfId="0" applyNumberFormat="1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0" fontId="27" fillId="0" borderId="0" xfId="0" applyNumberFormat="1" applyFont="1" applyAlignment="1">
      <alignment horizontal="center"/>
    </xf>
    <xf numFmtId="4" fontId="11" fillId="6" borderId="0" xfId="0" applyNumberFormat="1" applyFont="1" applyFill="1"/>
    <xf numFmtId="4" fontId="14" fillId="6" borderId="7" xfId="0" applyNumberFormat="1" applyFont="1" applyFill="1" applyBorder="1"/>
    <xf numFmtId="4" fontId="2" fillId="0" borderId="12" xfId="0" applyNumberFormat="1" applyFont="1" applyBorder="1" applyAlignment="1">
      <alignment horizontal="center"/>
    </xf>
    <xf numFmtId="4" fontId="8" fillId="0" borderId="12" xfId="0" applyNumberFormat="1" applyFont="1" applyBorder="1" applyAlignment="1">
      <alignment horizontal="center"/>
    </xf>
    <xf numFmtId="4" fontId="4" fillId="0" borderId="0" xfId="0" applyNumberFormat="1" applyFont="1" applyAlignment="1">
      <alignment horizontal="left"/>
    </xf>
    <xf numFmtId="4" fontId="34" fillId="0" borderId="0" xfId="0" applyNumberFormat="1" applyFont="1"/>
    <xf numFmtId="4" fontId="2" fillId="13" borderId="1" xfId="0" applyNumberFormat="1" applyFont="1" applyFill="1" applyBorder="1"/>
    <xf numFmtId="1" fontId="15" fillId="0" borderId="0" xfId="0" applyNumberFormat="1" applyFont="1" applyAlignment="1">
      <alignment horizontal="center"/>
    </xf>
    <xf numFmtId="9" fontId="2" fillId="0" borderId="0" xfId="1" applyFont="1" applyFill="1" applyBorder="1"/>
    <xf numFmtId="4" fontId="2" fillId="13" borderId="12" xfId="0" applyNumberFormat="1" applyFont="1" applyFill="1" applyBorder="1"/>
    <xf numFmtId="4" fontId="8" fillId="17" borderId="0" xfId="0" applyNumberFormat="1" applyFont="1" applyFill="1" applyAlignment="1">
      <alignment horizontal="center"/>
    </xf>
    <xf numFmtId="4" fontId="35" fillId="0" borderId="0" xfId="0" applyNumberFormat="1" applyFont="1"/>
    <xf numFmtId="0" fontId="36" fillId="0" borderId="0" xfId="0" applyFont="1"/>
    <xf numFmtId="0" fontId="37" fillId="0" borderId="0" xfId="0" applyFont="1" applyAlignment="1">
      <alignment horizontal="left"/>
    </xf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7" fillId="0" borderId="0" xfId="0" applyFont="1"/>
    <xf numFmtId="0" fontId="38" fillId="18" borderId="21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166" fontId="0" fillId="0" borderId="21" xfId="0" applyNumberFormat="1" applyBorder="1"/>
    <xf numFmtId="165" fontId="0" fillId="0" borderId="21" xfId="0" applyNumberFormat="1" applyBorder="1"/>
    <xf numFmtId="0" fontId="39" fillId="0" borderId="0" xfId="0" applyFont="1"/>
    <xf numFmtId="168" fontId="0" fillId="0" borderId="0" xfId="0" applyNumberFormat="1"/>
    <xf numFmtId="165" fontId="0" fillId="13" borderId="21" xfId="0" applyNumberFormat="1" applyFill="1" applyBorder="1"/>
    <xf numFmtId="165" fontId="0" fillId="19" borderId="21" xfId="0" applyNumberFormat="1" applyFill="1" applyBorder="1"/>
    <xf numFmtId="169" fontId="0" fillId="0" borderId="0" xfId="0" applyNumberFormat="1"/>
    <xf numFmtId="9" fontId="4" fillId="0" borderId="0" xfId="1" applyFont="1"/>
    <xf numFmtId="0" fontId="0" fillId="0" borderId="0" xfId="0" applyAlignment="1">
      <alignment horizontal="center"/>
    </xf>
    <xf numFmtId="9" fontId="0" fillId="0" borderId="0" xfId="0" applyNumberFormat="1"/>
    <xf numFmtId="0" fontId="0" fillId="0" borderId="20" xfId="0" applyBorder="1"/>
    <xf numFmtId="0" fontId="0" fillId="13" borderId="0" xfId="0" applyFill="1"/>
    <xf numFmtId="0" fontId="43" fillId="0" borderId="0" xfId="0" applyFont="1"/>
    <xf numFmtId="9" fontId="2" fillId="0" borderId="0" xfId="1" applyFont="1"/>
    <xf numFmtId="0" fontId="0" fillId="0" borderId="20" xfId="0" applyBorder="1" applyAlignment="1">
      <alignment horizontal="center"/>
    </xf>
    <xf numFmtId="4" fontId="0" fillId="20" borderId="0" xfId="0" applyNumberFormat="1" applyFill="1"/>
    <xf numFmtId="170" fontId="0" fillId="0" borderId="0" xfId="0" applyNumberFormat="1"/>
    <xf numFmtId="2" fontId="0" fillId="0" borderId="0" xfId="0" applyNumberFormat="1"/>
    <xf numFmtId="2" fontId="0" fillId="0" borderId="20" xfId="0" applyNumberFormat="1" applyBorder="1"/>
    <xf numFmtId="4" fontId="26" fillId="0" borderId="0" xfId="0" applyNumberFormat="1" applyFont="1"/>
    <xf numFmtId="4" fontId="0" fillId="0" borderId="20" xfId="0" applyNumberFormat="1" applyBorder="1"/>
    <xf numFmtId="4" fontId="42" fillId="0" borderId="7" xfId="0" applyNumberFormat="1" applyFont="1" applyBorder="1" applyProtection="1">
      <protection locked="0"/>
    </xf>
    <xf numFmtId="2" fontId="0" fillId="20" borderId="0" xfId="0" applyNumberFormat="1" applyFill="1"/>
    <xf numFmtId="4" fontId="4" fillId="13" borderId="7" xfId="0" applyNumberFormat="1" applyFont="1" applyFill="1" applyBorder="1" applyAlignment="1">
      <alignment horizontal="center"/>
    </xf>
    <xf numFmtId="4" fontId="4" fillId="13" borderId="7" xfId="0" applyNumberFormat="1" applyFont="1" applyFill="1" applyBorder="1"/>
    <xf numFmtId="4" fontId="4" fillId="21" borderId="7" xfId="0" applyNumberFormat="1" applyFont="1" applyFill="1" applyBorder="1" applyAlignment="1">
      <alignment horizontal="center"/>
    </xf>
    <xf numFmtId="4" fontId="4" fillId="19" borderId="7" xfId="0" applyNumberFormat="1" applyFont="1" applyFill="1" applyBorder="1" applyAlignment="1">
      <alignment horizontal="center"/>
    </xf>
    <xf numFmtId="4" fontId="2" fillId="22" borderId="8" xfId="0" applyNumberFormat="1" applyFont="1" applyFill="1" applyBorder="1"/>
    <xf numFmtId="4" fontId="2" fillId="22" borderId="7" xfId="0" applyNumberFormat="1" applyFont="1" applyFill="1" applyBorder="1"/>
    <xf numFmtId="0" fontId="19" fillId="0" borderId="0" xfId="0" applyFont="1"/>
    <xf numFmtId="8" fontId="19" fillId="0" borderId="0" xfId="0" applyNumberFormat="1" applyFont="1"/>
    <xf numFmtId="1" fontId="6" fillId="0" borderId="9" xfId="0" applyNumberFormat="1" applyFont="1" applyBorder="1" applyAlignment="1">
      <alignment horizontal="center"/>
    </xf>
    <xf numFmtId="1" fontId="6" fillId="0" borderId="10" xfId="0" applyNumberFormat="1" applyFont="1" applyBorder="1" applyAlignment="1">
      <alignment horizontal="center"/>
    </xf>
    <xf numFmtId="4" fontId="6" fillId="2" borderId="2" xfId="0" applyNumberFormat="1" applyFont="1" applyFill="1" applyBorder="1" applyAlignment="1">
      <alignment horizontal="center"/>
    </xf>
    <xf numFmtId="4" fontId="6" fillId="2" borderId="9" xfId="0" applyNumberFormat="1" applyFont="1" applyFill="1" applyBorder="1" applyAlignment="1">
      <alignment horizontal="center"/>
    </xf>
    <xf numFmtId="4" fontId="6" fillId="2" borderId="11" xfId="0" applyNumberFormat="1" applyFont="1" applyFill="1" applyBorder="1" applyAlignment="1">
      <alignment horizontal="center"/>
    </xf>
    <xf numFmtId="4" fontId="6" fillId="2" borderId="10" xfId="0" applyNumberFormat="1" applyFont="1" applyFill="1" applyBorder="1" applyAlignment="1">
      <alignment horizontal="center"/>
    </xf>
    <xf numFmtId="4" fontId="6" fillId="2" borderId="1" xfId="0" applyNumberFormat="1" applyFont="1" applyFill="1" applyBorder="1" applyAlignment="1">
      <alignment horizontal="center"/>
    </xf>
    <xf numFmtId="4" fontId="6" fillId="2" borderId="5" xfId="0" applyNumberFormat="1" applyFont="1" applyFill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8" fillId="0" borderId="9" xfId="0" applyNumberFormat="1" applyFont="1" applyBorder="1" applyAlignment="1">
      <alignment horizontal="center"/>
    </xf>
    <xf numFmtId="1" fontId="8" fillId="0" borderId="10" xfId="0" applyNumberFormat="1" applyFont="1" applyBorder="1" applyAlignment="1">
      <alignment horizontal="center"/>
    </xf>
    <xf numFmtId="4" fontId="6" fillId="0" borderId="9" xfId="0" applyNumberFormat="1" applyFont="1" applyBorder="1" applyAlignment="1">
      <alignment horizontal="center"/>
    </xf>
    <xf numFmtId="4" fontId="6" fillId="0" borderId="11" xfId="0" applyNumberFormat="1" applyFont="1" applyBorder="1" applyAlignment="1">
      <alignment horizontal="center"/>
    </xf>
    <xf numFmtId="4" fontId="6" fillId="0" borderId="10" xfId="0" applyNumberFormat="1" applyFont="1" applyBorder="1" applyAlignment="1">
      <alignment horizontal="center"/>
    </xf>
    <xf numFmtId="4" fontId="22" fillId="0" borderId="17" xfId="0" applyNumberFormat="1" applyFont="1" applyBorder="1" applyAlignment="1">
      <alignment horizontal="center"/>
    </xf>
    <xf numFmtId="4" fontId="22" fillId="0" borderId="20" xfId="0" applyNumberFormat="1" applyFont="1" applyBorder="1" applyAlignment="1">
      <alignment horizontal="center"/>
    </xf>
    <xf numFmtId="4" fontId="22" fillId="0" borderId="5" xfId="0" applyNumberFormat="1" applyFont="1" applyBorder="1" applyAlignment="1">
      <alignment horizontal="center"/>
    </xf>
    <xf numFmtId="4" fontId="22" fillId="0" borderId="9" xfId="0" applyNumberFormat="1" applyFont="1" applyBorder="1" applyAlignment="1">
      <alignment horizontal="center"/>
    </xf>
    <xf numFmtId="4" fontId="22" fillId="0" borderId="11" xfId="0" applyNumberFormat="1" applyFont="1" applyBorder="1" applyAlignment="1">
      <alignment horizontal="center"/>
    </xf>
    <xf numFmtId="4" fontId="22" fillId="0" borderId="10" xfId="0" applyNumberFormat="1" applyFont="1" applyBorder="1" applyAlignment="1">
      <alignment horizontal="center"/>
    </xf>
    <xf numFmtId="0" fontId="41" fillId="0" borderId="0" xfId="0" applyFont="1" applyAlignment="1">
      <alignment horizontal="center"/>
    </xf>
    <xf numFmtId="0" fontId="0" fillId="19" borderId="21" xfId="0" applyFill="1" applyBorder="1" applyAlignment="1">
      <alignment horizontal="center"/>
    </xf>
    <xf numFmtId="166" fontId="0" fillId="19" borderId="21" xfId="0" applyNumberFormat="1" applyFill="1" applyBorder="1"/>
    <xf numFmtId="8" fontId="19" fillId="19" borderId="0" xfId="0" applyNumberFormat="1" applyFont="1" applyFill="1"/>
    <xf numFmtId="165" fontId="0" fillId="0" borderId="21" xfId="0" applyNumberFormat="1" applyFill="1" applyBorder="1"/>
    <xf numFmtId="8" fontId="19" fillId="0" borderId="0" xfId="0" applyNumberFormat="1" applyFont="1" applyFill="1"/>
    <xf numFmtId="165" fontId="19" fillId="13" borderId="0" xfId="0" applyNumberFormat="1" applyFont="1" applyFill="1"/>
  </cellXfs>
  <cellStyles count="2">
    <cellStyle name="Procent" xfId="1" builtinId="5"/>
    <cellStyle name="Standaard" xfId="0" builtinId="0"/>
  </cellStyles>
  <dxfs count="0"/>
  <tableStyles count="0" defaultTableStyle="TableStyleMedium2" defaultPivotStyle="PivotStyleLight16"/>
  <colors>
    <mruColors>
      <color rgb="FFFFCC66"/>
      <color rgb="FFCCCCFF"/>
      <color rgb="FFFFFF66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opLeftCell="A22" zoomScale="136" zoomScaleNormal="136" workbookViewId="0">
      <selection activeCell="F40" sqref="F40"/>
    </sheetView>
  </sheetViews>
  <sheetFormatPr defaultColWidth="9.21875" defaultRowHeight="14.4" x14ac:dyDescent="0.3"/>
  <cols>
    <col min="1" max="1" width="38.77734375" style="6" customWidth="1"/>
    <col min="2" max="2" width="15.77734375" style="6" customWidth="1"/>
    <col min="3" max="3" width="7" style="6" hidden="1" customWidth="1"/>
    <col min="4" max="4" width="15.77734375" style="6" customWidth="1"/>
    <col min="5" max="5" width="7" style="6" hidden="1" customWidth="1"/>
    <col min="6" max="6" width="15.77734375" style="6" customWidth="1"/>
    <col min="7" max="7" width="7" style="6" customWidth="1"/>
    <col min="8" max="8" width="3.21875" style="6" customWidth="1"/>
    <col min="9" max="10" width="10.44140625" style="6" bestFit="1" customWidth="1"/>
    <col min="11" max="11" width="9.21875" style="3"/>
    <col min="12" max="12" width="9.77734375" style="3" bestFit="1" customWidth="1"/>
    <col min="13" max="16384" width="9.21875" style="3"/>
  </cols>
  <sheetData>
    <row r="1" spans="1:10" ht="15.6" x14ac:dyDescent="0.3">
      <c r="A1" s="104" t="s">
        <v>308</v>
      </c>
    </row>
    <row r="2" spans="1:10" x14ac:dyDescent="0.3">
      <c r="A2" s="103" t="s">
        <v>236</v>
      </c>
    </row>
    <row r="3" spans="1:10" ht="9" customHeight="1" x14ac:dyDescent="0.3"/>
    <row r="4" spans="1:10" s="19" customFormat="1" x14ac:dyDescent="0.3">
      <c r="A4" s="23" t="s">
        <v>0</v>
      </c>
      <c r="B4" s="87" t="s">
        <v>99</v>
      </c>
      <c r="C4" s="88"/>
      <c r="D4" s="89" t="s">
        <v>100</v>
      </c>
      <c r="E4" s="90"/>
      <c r="F4" s="105" t="s">
        <v>179</v>
      </c>
      <c r="G4" s="91"/>
      <c r="H4" s="16"/>
      <c r="I4" s="322" t="s">
        <v>178</v>
      </c>
      <c r="J4" s="323"/>
    </row>
    <row r="5" spans="1:10" customFormat="1" ht="13.8" customHeight="1" x14ac:dyDescent="0.3">
      <c r="A5" s="6"/>
      <c r="B5" s="92"/>
      <c r="C5" s="93" t="s">
        <v>139</v>
      </c>
      <c r="D5" s="18"/>
      <c r="E5" s="93" t="s">
        <v>139</v>
      </c>
      <c r="F5" s="18"/>
      <c r="G5" s="94" t="s">
        <v>139</v>
      </c>
      <c r="H5" s="6"/>
      <c r="I5" s="94" t="s">
        <v>141</v>
      </c>
      <c r="J5" s="85" t="s">
        <v>142</v>
      </c>
    </row>
    <row r="6" spans="1:10" ht="15" customHeight="1" x14ac:dyDescent="0.3">
      <c r="A6" s="25" t="s">
        <v>2</v>
      </c>
      <c r="B6" s="92"/>
      <c r="C6" s="95">
        <f>B6/B$44*100</f>
        <v>0</v>
      </c>
      <c r="D6" s="18"/>
      <c r="E6" s="95">
        <f>D6/D$44*100</f>
        <v>0</v>
      </c>
      <c r="F6" s="18"/>
      <c r="G6" s="92">
        <f>F6/F$44*100</f>
        <v>0</v>
      </c>
      <c r="I6" s="9"/>
      <c r="J6" s="9"/>
    </row>
    <row r="7" spans="1:10" ht="5.25" customHeight="1" x14ac:dyDescent="0.3">
      <c r="A7" s="25"/>
      <c r="B7" s="92"/>
      <c r="C7" s="95"/>
      <c r="D7" s="18"/>
      <c r="E7" s="95"/>
      <c r="F7" s="18"/>
      <c r="G7" s="92"/>
      <c r="I7" s="9"/>
      <c r="J7" s="7"/>
    </row>
    <row r="8" spans="1:10" x14ac:dyDescent="0.3">
      <c r="A8" s="126" t="s">
        <v>1</v>
      </c>
      <c r="B8" s="131">
        <f>B10+B15+B24</f>
        <v>304000</v>
      </c>
      <c r="C8" s="132">
        <f>B8/B$44*100</f>
        <v>64.15807063189105</v>
      </c>
      <c r="D8" s="131">
        <f>D10+D15+D24</f>
        <v>262000</v>
      </c>
      <c r="E8" s="132">
        <f>D8/D$44*100</f>
        <v>52.670728201417759</v>
      </c>
      <c r="F8" s="131">
        <f>F10+F15+F24</f>
        <v>220000</v>
      </c>
      <c r="G8" s="11">
        <f>F8/F$44*100</f>
        <v>41.369222948812023</v>
      </c>
      <c r="I8" s="97">
        <f>D8-B8</f>
        <v>-42000</v>
      </c>
      <c r="J8" s="98">
        <f>F8-D8</f>
        <v>-42000</v>
      </c>
    </row>
    <row r="9" spans="1:10" ht="7.5" customHeight="1" x14ac:dyDescent="0.3">
      <c r="B9" s="9"/>
      <c r="C9" s="95"/>
      <c r="D9" s="7"/>
      <c r="E9" s="95"/>
      <c r="F9" s="7"/>
      <c r="G9" s="92"/>
      <c r="I9" s="9"/>
      <c r="J9" s="9"/>
    </row>
    <row r="10" spans="1:10" ht="12.75" customHeight="1" x14ac:dyDescent="0.3">
      <c r="A10" s="25" t="s">
        <v>3</v>
      </c>
      <c r="B10" s="92">
        <f>B12+B13</f>
        <v>0</v>
      </c>
      <c r="C10" s="95">
        <f>B10/B$44*100</f>
        <v>0</v>
      </c>
      <c r="D10" s="18">
        <f t="shared" ref="D10:F10" si="0">D12+D13</f>
        <v>0</v>
      </c>
      <c r="E10" s="95">
        <f>D10/D$44*100</f>
        <v>0</v>
      </c>
      <c r="F10" s="18">
        <f t="shared" si="0"/>
        <v>0</v>
      </c>
      <c r="G10" s="92">
        <f t="shared" ref="G10" si="1">F10/F$44*100</f>
        <v>0</v>
      </c>
      <c r="I10" s="9"/>
      <c r="J10" s="9"/>
    </row>
    <row r="11" spans="1:10" ht="6.75" customHeight="1" x14ac:dyDescent="0.3">
      <c r="B11" s="9"/>
      <c r="C11" s="95"/>
      <c r="D11" s="7"/>
      <c r="E11" s="95"/>
      <c r="F11" s="7"/>
      <c r="G11" s="92"/>
      <c r="I11" s="9"/>
      <c r="J11" s="9"/>
    </row>
    <row r="12" spans="1:10" ht="13.5" customHeight="1" x14ac:dyDescent="0.3">
      <c r="A12" s="6" t="s">
        <v>145</v>
      </c>
      <c r="B12" s="9"/>
      <c r="C12" s="99">
        <f>B12/B$44*100</f>
        <v>0</v>
      </c>
      <c r="D12" s="7"/>
      <c r="E12" s="99">
        <f>D12/D$44*100</f>
        <v>0</v>
      </c>
      <c r="F12" s="7"/>
      <c r="G12" s="9">
        <f t="shared" ref="G12" si="2">F12/F$44*100</f>
        <v>0</v>
      </c>
      <c r="I12" s="9">
        <f t="shared" ref="I12" si="3">D12-B12</f>
        <v>0</v>
      </c>
      <c r="J12" s="9">
        <f t="shared" ref="J12" si="4">F12-D12</f>
        <v>0</v>
      </c>
    </row>
    <row r="13" spans="1:10" ht="13.5" customHeight="1" x14ac:dyDescent="0.3">
      <c r="A13" s="6" t="s">
        <v>146</v>
      </c>
      <c r="B13" s="9"/>
      <c r="C13" s="99">
        <f>B13/B$44*100</f>
        <v>0</v>
      </c>
      <c r="D13" s="7"/>
      <c r="E13" s="99">
        <f>D13/D$44*100</f>
        <v>0</v>
      </c>
      <c r="F13" s="7"/>
      <c r="G13" s="9">
        <f t="shared" ref="G13" si="5">F13/F$44*100</f>
        <v>0</v>
      </c>
      <c r="I13" s="9">
        <f t="shared" ref="I13" si="6">D13-B13</f>
        <v>0</v>
      </c>
      <c r="J13" s="9">
        <f t="shared" ref="J13" si="7">F13-D13</f>
        <v>0</v>
      </c>
    </row>
    <row r="14" spans="1:10" ht="6.75" customHeight="1" x14ac:dyDescent="0.3">
      <c r="B14" s="9"/>
      <c r="C14" s="95"/>
      <c r="D14" s="7"/>
      <c r="E14" s="95"/>
      <c r="F14" s="7"/>
      <c r="G14" s="92"/>
      <c r="I14" s="9"/>
      <c r="J14" s="9"/>
    </row>
    <row r="15" spans="1:10" x14ac:dyDescent="0.3">
      <c r="A15" s="25" t="s">
        <v>4</v>
      </c>
      <c r="B15" s="92">
        <f>SUM(B17:B22)</f>
        <v>304000</v>
      </c>
      <c r="C15" s="95">
        <f>B15/B$44*100</f>
        <v>64.15807063189105</v>
      </c>
      <c r="D15" s="18">
        <f t="shared" ref="D15:F15" si="8">SUM(D17:D22)</f>
        <v>262000</v>
      </c>
      <c r="E15" s="95">
        <f>D15/D$44*100</f>
        <v>52.670728201417759</v>
      </c>
      <c r="F15" s="18">
        <f t="shared" si="8"/>
        <v>220000</v>
      </c>
      <c r="G15" s="92">
        <f t="shared" ref="G15" si="9">F15/F$44*100</f>
        <v>41.369222948812023</v>
      </c>
      <c r="I15" s="92">
        <f>D15-B15</f>
        <v>-42000</v>
      </c>
      <c r="J15" s="92">
        <f>F15-D15</f>
        <v>-42000</v>
      </c>
    </row>
    <row r="16" spans="1:10" ht="5.25" customHeight="1" x14ac:dyDescent="0.3">
      <c r="B16" s="9"/>
      <c r="C16" s="95"/>
      <c r="D16" s="7"/>
      <c r="E16" s="95"/>
      <c r="F16" s="7"/>
      <c r="G16" s="92"/>
      <c r="I16" s="9"/>
      <c r="J16" s="9"/>
    </row>
    <row r="17" spans="1:10" ht="15" customHeight="1" x14ac:dyDescent="0.3">
      <c r="A17" s="6" t="s">
        <v>144</v>
      </c>
      <c r="B17" s="9">
        <f>'INVEST TABEL'!C7-'INVEST TABEL'!E7</f>
        <v>0</v>
      </c>
      <c r="C17" s="99">
        <f t="shared" ref="C17:C22" si="10">B17/B$44*100</f>
        <v>0</v>
      </c>
      <c r="D17" s="7">
        <f>B17-'INVEST TABEL'!F7</f>
        <v>0</v>
      </c>
      <c r="E17" s="99">
        <f t="shared" ref="E17:E22" si="11">D17/D$44*100</f>
        <v>0</v>
      </c>
      <c r="F17" s="7">
        <f>'INVEST TABEL'!J7</f>
        <v>0</v>
      </c>
      <c r="G17" s="9">
        <f t="shared" ref="G17" si="12">F17/F$44*100</f>
        <v>0</v>
      </c>
      <c r="I17" s="9">
        <f t="shared" ref="I17:I24" si="13">D17-B17</f>
        <v>0</v>
      </c>
      <c r="J17" s="9">
        <f t="shared" ref="J17:J24" si="14">F17-D17</f>
        <v>0</v>
      </c>
    </row>
    <row r="18" spans="1:10" ht="15" customHeight="1" x14ac:dyDescent="0.3">
      <c r="A18" s="6" t="s">
        <v>235</v>
      </c>
      <c r="B18" s="9">
        <f>'INVEST TABEL'!C11-'INVEST TABEL'!E11</f>
        <v>270000</v>
      </c>
      <c r="C18" s="99">
        <f t="shared" si="10"/>
        <v>56.98249694279798</v>
      </c>
      <c r="D18" s="7">
        <f>B18-'INVEST TABEL'!F11</f>
        <v>240000</v>
      </c>
      <c r="E18" s="7">
        <f>C18-'INVEST TABEL'!G11</f>
        <v>-29943.017503057203</v>
      </c>
      <c r="F18" s="7">
        <f>D18-'INVEST TABEL'!G11</f>
        <v>210000</v>
      </c>
      <c r="G18" s="9">
        <f t="shared" ref="G18" si="15">F18/F$44*100</f>
        <v>39.48880372386602</v>
      </c>
      <c r="I18" s="9">
        <f t="shared" si="13"/>
        <v>-30000</v>
      </c>
      <c r="J18" s="9">
        <f t="shared" si="14"/>
        <v>-30000</v>
      </c>
    </row>
    <row r="19" spans="1:10" ht="15" customHeight="1" x14ac:dyDescent="0.3">
      <c r="A19" s="6" t="s">
        <v>231</v>
      </c>
      <c r="B19" s="9">
        <f>'INVEST TABEL'!C16-'INVEST TABEL'!E16</f>
        <v>34000</v>
      </c>
      <c r="C19" s="99">
        <f t="shared" si="10"/>
        <v>7.1755736890930777</v>
      </c>
      <c r="D19" s="7">
        <f>B19-'INVEST TABEL'!F16</f>
        <v>22000</v>
      </c>
      <c r="E19" s="7">
        <f>C19-'INVEST TABEL'!G16</f>
        <v>-11992.824426310906</v>
      </c>
      <c r="F19" s="7">
        <f>D19-'INVEST TABEL'!G16</f>
        <v>10000</v>
      </c>
      <c r="G19" s="9">
        <f t="shared" ref="G19" si="16">F19/F$44*100</f>
        <v>1.8804192249460012</v>
      </c>
      <c r="I19" s="9">
        <f t="shared" si="13"/>
        <v>-12000</v>
      </c>
      <c r="J19" s="9">
        <f t="shared" si="14"/>
        <v>-12000</v>
      </c>
    </row>
    <row r="20" spans="1:10" ht="15" customHeight="1" x14ac:dyDescent="0.3">
      <c r="A20" s="6" t="s">
        <v>54</v>
      </c>
      <c r="B20" s="9">
        <f>'INVEST TABEL'!C20-'INVEST TABEL'!E20</f>
        <v>0</v>
      </c>
      <c r="C20" s="99">
        <f t="shared" si="10"/>
        <v>0</v>
      </c>
      <c r="D20" s="7">
        <f>B20-'INVEST TABEL'!F20</f>
        <v>0</v>
      </c>
      <c r="E20" s="99">
        <f t="shared" si="11"/>
        <v>0</v>
      </c>
      <c r="F20" s="7">
        <f>'INVEST TABEL'!J20</f>
        <v>0</v>
      </c>
      <c r="G20" s="9">
        <f t="shared" ref="G20" si="17">F20/F$44*100</f>
        <v>0</v>
      </c>
      <c r="I20" s="9">
        <f t="shared" si="13"/>
        <v>0</v>
      </c>
      <c r="J20" s="9">
        <f t="shared" si="14"/>
        <v>0</v>
      </c>
    </row>
    <row r="21" spans="1:10" ht="15" customHeight="1" x14ac:dyDescent="0.3">
      <c r="A21" s="6" t="s">
        <v>234</v>
      </c>
      <c r="B21" s="9">
        <f>'INVEST TABEL'!C24-'INVEST TABEL'!E24</f>
        <v>0</v>
      </c>
      <c r="C21" s="99">
        <f t="shared" si="10"/>
        <v>0</v>
      </c>
      <c r="D21" s="7">
        <f>B21-'INVEST TABEL'!F24</f>
        <v>0</v>
      </c>
      <c r="E21" s="99">
        <f t="shared" si="11"/>
        <v>0</v>
      </c>
      <c r="F21" s="7">
        <f>'INVEST TABEL'!J24</f>
        <v>0</v>
      </c>
      <c r="G21" s="9">
        <f t="shared" ref="G21" si="18">F21/F$44*100</f>
        <v>0</v>
      </c>
      <c r="I21" s="9">
        <f t="shared" si="13"/>
        <v>0</v>
      </c>
      <c r="J21" s="9">
        <f t="shared" si="14"/>
        <v>0</v>
      </c>
    </row>
    <row r="22" spans="1:10" ht="15" customHeight="1" x14ac:dyDescent="0.3">
      <c r="A22" s="6" t="s">
        <v>466</v>
      </c>
      <c r="B22" s="9">
        <f>'INVEST TABEL'!C29-'INVEST TABEL'!E29</f>
        <v>0</v>
      </c>
      <c r="C22" s="99">
        <f t="shared" si="10"/>
        <v>0</v>
      </c>
      <c r="D22" s="7">
        <f>B22-'INVEST TABEL'!F29</f>
        <v>0</v>
      </c>
      <c r="E22" s="99">
        <f t="shared" si="11"/>
        <v>0</v>
      </c>
      <c r="F22" s="7">
        <f>'INVEST TABEL'!J29</f>
        <v>0</v>
      </c>
      <c r="G22" s="9">
        <f t="shared" ref="G22" si="19">F22/F$44*100</f>
        <v>0</v>
      </c>
      <c r="I22" s="9">
        <f t="shared" si="13"/>
        <v>0</v>
      </c>
      <c r="J22" s="9">
        <f t="shared" si="14"/>
        <v>0</v>
      </c>
    </row>
    <row r="23" spans="1:10" ht="6.75" customHeight="1" x14ac:dyDescent="0.3">
      <c r="B23" s="9"/>
      <c r="C23" s="95"/>
      <c r="D23" s="7"/>
      <c r="E23" s="95"/>
      <c r="F23" s="7"/>
      <c r="G23" s="92"/>
      <c r="I23" s="9"/>
      <c r="J23" s="9"/>
    </row>
    <row r="24" spans="1:10" ht="12.75" customHeight="1" x14ac:dyDescent="0.3">
      <c r="A24" s="25" t="s">
        <v>5</v>
      </c>
      <c r="B24" s="92"/>
      <c r="C24" s="95">
        <f>B24/B$44*100</f>
        <v>0</v>
      </c>
      <c r="D24" s="18"/>
      <c r="E24" s="95">
        <f>D24/D$44*100</f>
        <v>0</v>
      </c>
      <c r="F24" s="18"/>
      <c r="G24" s="92">
        <f t="shared" ref="G24" si="20">F24/F$44*100</f>
        <v>0</v>
      </c>
      <c r="H24" s="35"/>
      <c r="I24" s="9">
        <f t="shared" si="13"/>
        <v>0</v>
      </c>
      <c r="J24" s="9">
        <f t="shared" si="14"/>
        <v>0</v>
      </c>
    </row>
    <row r="25" spans="1:10" ht="9" customHeight="1" x14ac:dyDescent="0.3">
      <c r="B25" s="9"/>
      <c r="C25" s="95"/>
      <c r="D25" s="7"/>
      <c r="E25" s="95"/>
      <c r="F25" s="7"/>
      <c r="G25" s="92"/>
      <c r="I25" s="9"/>
      <c r="J25" s="9"/>
    </row>
    <row r="26" spans="1:10" x14ac:dyDescent="0.3">
      <c r="A26" s="126" t="s">
        <v>6</v>
      </c>
      <c r="B26" s="131">
        <f>B28+B30+B39+B34+B42</f>
        <v>169829.70997399464</v>
      </c>
      <c r="C26" s="132">
        <f>B26/B$44*100</f>
        <v>35.84192936810895</v>
      </c>
      <c r="D26" s="133">
        <f>D28+D30+D39+D34+D42</f>
        <v>235429.99374925601</v>
      </c>
      <c r="E26" s="132">
        <f>D26/D$44*100</f>
        <v>47.329271798582241</v>
      </c>
      <c r="F26" s="133">
        <f t="shared" ref="F26" si="21">F28+F30+F39+F34+F42</f>
        <v>311796.30729882396</v>
      </c>
      <c r="G26" s="11">
        <f t="shared" ref="G26" si="22">F26/F$44*100</f>
        <v>58.630777051187977</v>
      </c>
      <c r="I26" s="97">
        <f>D26-B26</f>
        <v>65600.28377526137</v>
      </c>
      <c r="J26" s="97">
        <f>F26-D26</f>
        <v>76366.313549567945</v>
      </c>
    </row>
    <row r="27" spans="1:10" ht="11.25" customHeight="1" x14ac:dyDescent="0.3">
      <c r="B27" s="9"/>
      <c r="C27" s="95"/>
      <c r="D27" s="7"/>
      <c r="E27" s="95"/>
      <c r="F27" s="7"/>
      <c r="G27" s="92"/>
      <c r="I27" s="9"/>
      <c r="J27" s="9"/>
    </row>
    <row r="28" spans="1:10" ht="12.75" customHeight="1" x14ac:dyDescent="0.3">
      <c r="A28" s="25" t="s">
        <v>7</v>
      </c>
      <c r="B28" s="92"/>
      <c r="C28" s="95">
        <f>B28/B$44*100</f>
        <v>0</v>
      </c>
      <c r="D28" s="18"/>
      <c r="E28" s="95">
        <f>D28/D$44*100</f>
        <v>0</v>
      </c>
      <c r="F28" s="18"/>
      <c r="G28" s="92">
        <f t="shared" ref="G28" si="23">F28/F$44*100</f>
        <v>0</v>
      </c>
      <c r="I28" s="92">
        <f t="shared" ref="I28:I31" si="24">D28-B28</f>
        <v>0</v>
      </c>
      <c r="J28" s="92">
        <f t="shared" ref="J28:J31" si="25">F28-D28</f>
        <v>0</v>
      </c>
    </row>
    <row r="29" spans="1:10" ht="7.5" customHeight="1" x14ac:dyDescent="0.3">
      <c r="B29" s="9"/>
      <c r="C29" s="95"/>
      <c r="D29" s="7"/>
      <c r="E29" s="95"/>
      <c r="F29" s="7"/>
      <c r="G29" s="92"/>
      <c r="I29" s="9"/>
      <c r="J29" s="9"/>
    </row>
    <row r="30" spans="1:10" ht="12.75" customHeight="1" x14ac:dyDescent="0.3">
      <c r="A30" s="25" t="s">
        <v>10</v>
      </c>
      <c r="B30" s="92">
        <f>B31+B32</f>
        <v>0</v>
      </c>
      <c r="C30" s="95">
        <f>B30/B$44*100</f>
        <v>0</v>
      </c>
      <c r="D30" s="92">
        <f>D31+D32</f>
        <v>0</v>
      </c>
      <c r="E30" s="95">
        <f>D30/D$44*100</f>
        <v>0</v>
      </c>
      <c r="F30" s="92">
        <f>F31+F32</f>
        <v>0</v>
      </c>
      <c r="G30" s="92">
        <f t="shared" ref="G30" si="26">F30/F$44*100</f>
        <v>0</v>
      </c>
      <c r="I30" s="92">
        <f t="shared" si="24"/>
        <v>0</v>
      </c>
      <c r="J30" s="92">
        <f t="shared" si="25"/>
        <v>0</v>
      </c>
    </row>
    <row r="31" spans="1:10" ht="15" customHeight="1" x14ac:dyDescent="0.3">
      <c r="A31" s="6" t="s">
        <v>11</v>
      </c>
      <c r="B31" s="9"/>
      <c r="C31" s="99">
        <f>B31/B$44*100</f>
        <v>0</v>
      </c>
      <c r="D31" s="7">
        <f>B31</f>
        <v>0</v>
      </c>
      <c r="E31" s="99">
        <f>D31/D$44*100</f>
        <v>0</v>
      </c>
      <c r="F31" s="7">
        <f>D31</f>
        <v>0</v>
      </c>
      <c r="G31" s="9">
        <f t="shared" ref="G31:G32" si="27">F31/F$44*100</f>
        <v>0</v>
      </c>
      <c r="I31" s="9">
        <f t="shared" si="24"/>
        <v>0</v>
      </c>
      <c r="J31" s="9">
        <f t="shared" si="25"/>
        <v>0</v>
      </c>
    </row>
    <row r="32" spans="1:10" ht="15" customHeight="1" x14ac:dyDescent="0.3">
      <c r="A32" s="6" t="s">
        <v>233</v>
      </c>
      <c r="B32" s="9"/>
      <c r="C32" s="99">
        <f>B32/B$44*100</f>
        <v>0</v>
      </c>
      <c r="D32" s="7"/>
      <c r="E32" s="99">
        <f>D32/D$44*100</f>
        <v>0</v>
      </c>
      <c r="F32" s="7"/>
      <c r="G32" s="9">
        <f t="shared" si="27"/>
        <v>0</v>
      </c>
      <c r="I32" s="9">
        <f t="shared" ref="I32" si="28">D32-B32</f>
        <v>0</v>
      </c>
      <c r="J32" s="9">
        <f t="shared" ref="J32" si="29">F32-D32</f>
        <v>0</v>
      </c>
    </row>
    <row r="33" spans="1:10" ht="5.25" customHeight="1" x14ac:dyDescent="0.3">
      <c r="B33" s="9"/>
      <c r="C33" s="95"/>
      <c r="D33" s="7"/>
      <c r="E33" s="95"/>
      <c r="F33" s="7"/>
      <c r="G33" s="92"/>
      <c r="I33" s="9"/>
      <c r="J33" s="9"/>
    </row>
    <row r="34" spans="1:10" ht="12.75" customHeight="1" x14ac:dyDescent="0.3">
      <c r="A34" s="25" t="s">
        <v>62</v>
      </c>
      <c r="B34" s="92">
        <f>B35+B37+B36</f>
        <v>62000</v>
      </c>
      <c r="C34" s="95">
        <f>B34/B$44*100</f>
        <v>13.084869668346203</v>
      </c>
      <c r="D34" s="18">
        <f>D35+D37+D36</f>
        <v>65100</v>
      </c>
      <c r="E34" s="95">
        <f>D34/D$44*100</f>
        <v>13.087268724856093</v>
      </c>
      <c r="F34" s="18">
        <f>F35+F37+F36</f>
        <v>68355</v>
      </c>
      <c r="G34" s="92">
        <f t="shared" ref="G34" si="30">F34/F$44*100</f>
        <v>12.85360561211839</v>
      </c>
      <c r="I34" s="92">
        <f>D34-B34</f>
        <v>3100</v>
      </c>
      <c r="J34" s="92">
        <f>F34-D34</f>
        <v>3255</v>
      </c>
    </row>
    <row r="35" spans="1:10" ht="15" customHeight="1" x14ac:dyDescent="0.3">
      <c r="A35" s="6" t="s">
        <v>8</v>
      </c>
      <c r="B35" s="9">
        <f>'70-40-44-55'!C12</f>
        <v>62000</v>
      </c>
      <c r="C35" s="99">
        <f>B35/B$44*100</f>
        <v>13.084869668346203</v>
      </c>
      <c r="D35" s="7">
        <f>'70-40-44-55'!C16</f>
        <v>65100</v>
      </c>
      <c r="E35" s="99">
        <f>D35/D$44*100</f>
        <v>13.087268724856093</v>
      </c>
      <c r="F35" s="7">
        <f>'70-40-44-55'!C20</f>
        <v>68355</v>
      </c>
      <c r="G35" s="9">
        <f t="shared" ref="G35" si="31">F35/F$44*100</f>
        <v>12.85360561211839</v>
      </c>
      <c r="I35" s="315">
        <f>D35-B35</f>
        <v>3100</v>
      </c>
      <c r="J35" s="315">
        <f t="shared" ref="J35:J42" si="32">F35-D35</f>
        <v>3255</v>
      </c>
    </row>
    <row r="36" spans="1:10" ht="15" customHeight="1" x14ac:dyDescent="0.3">
      <c r="A36" s="6" t="s">
        <v>9</v>
      </c>
      <c r="B36" s="9"/>
      <c r="C36" s="99"/>
      <c r="D36" s="7"/>
      <c r="E36" s="99"/>
      <c r="F36" s="7"/>
      <c r="G36" s="9"/>
      <c r="I36" s="9"/>
      <c r="J36" s="9"/>
    </row>
    <row r="37" spans="1:10" x14ac:dyDescent="0.3">
      <c r="A37" s="6" t="s">
        <v>205</v>
      </c>
      <c r="B37" s="9">
        <f>RESULTAAT!K46-RESULTAAT!L59</f>
        <v>0</v>
      </c>
      <c r="C37" s="99">
        <f>B37/B$44*100</f>
        <v>0</v>
      </c>
      <c r="D37" s="7">
        <f>RESULTAAT!M46-RESULTAAT!N59</f>
        <v>0</v>
      </c>
      <c r="E37" s="99">
        <f>D37/D$44*100</f>
        <v>0</v>
      </c>
      <c r="F37" s="7">
        <f>RESULTAAT!O46-RESULTAAT!P59</f>
        <v>0</v>
      </c>
      <c r="G37" s="9">
        <f t="shared" ref="G37" si="33">F37/F$44*100</f>
        <v>0</v>
      </c>
      <c r="I37" s="9">
        <f t="shared" ref="I37:I42" si="34">D37-B37</f>
        <v>0</v>
      </c>
      <c r="J37" s="9">
        <f t="shared" si="32"/>
        <v>0</v>
      </c>
    </row>
    <row r="38" spans="1:10" x14ac:dyDescent="0.3">
      <c r="B38" s="9"/>
      <c r="C38" s="95"/>
      <c r="D38" s="7"/>
      <c r="E38" s="95"/>
      <c r="F38" s="7"/>
      <c r="G38" s="92"/>
      <c r="I38" s="9"/>
      <c r="J38" s="9"/>
    </row>
    <row r="39" spans="1:10" ht="12.75" customHeight="1" x14ac:dyDescent="0.3">
      <c r="A39" s="25" t="s">
        <v>12</v>
      </c>
      <c r="B39" s="92">
        <f>B40</f>
        <v>107829.70997399464</v>
      </c>
      <c r="C39" s="95">
        <f>B39/B$44*100</f>
        <v>22.757059699762745</v>
      </c>
      <c r="D39" s="18">
        <f>D40</f>
        <v>170329.99374925601</v>
      </c>
      <c r="E39" s="95">
        <f>D39/D$44*100</f>
        <v>34.242003073726146</v>
      </c>
      <c r="F39" s="18">
        <f>F40</f>
        <v>243441.30729882396</v>
      </c>
      <c r="G39" s="92">
        <f t="shared" ref="G39" si="35">F39/F$44*100</f>
        <v>45.777171439069583</v>
      </c>
      <c r="I39" s="92">
        <f t="shared" si="34"/>
        <v>62500.28377526137</v>
      </c>
      <c r="J39" s="92">
        <f t="shared" si="32"/>
        <v>73111.313549567945</v>
      </c>
    </row>
    <row r="40" spans="1:10" ht="15" customHeight="1" x14ac:dyDescent="0.3">
      <c r="A40" s="6" t="s">
        <v>13</v>
      </c>
      <c r="B40" s="9">
        <f>'FIN ANALYSE'!B94</f>
        <v>107829.70997399464</v>
      </c>
      <c r="C40" s="99">
        <f>B40/B$44*100</f>
        <v>22.757059699762745</v>
      </c>
      <c r="D40" s="7">
        <f>'FIN ANALYSE'!C94</f>
        <v>170329.99374925601</v>
      </c>
      <c r="E40" s="99">
        <f>D40/D$44*100</f>
        <v>34.242003073726146</v>
      </c>
      <c r="F40" s="7">
        <f>'FIN ANALYSE'!D94</f>
        <v>243441.30729882396</v>
      </c>
      <c r="G40" s="9">
        <f t="shared" ref="G40" si="36">F40/F$44*100</f>
        <v>45.777171439069583</v>
      </c>
      <c r="I40" s="9">
        <f t="shared" si="34"/>
        <v>62500.28377526137</v>
      </c>
      <c r="J40" s="9">
        <f t="shared" si="32"/>
        <v>73111.313549567945</v>
      </c>
    </row>
    <row r="41" spans="1:10" x14ac:dyDescent="0.3">
      <c r="B41" s="9"/>
      <c r="C41" s="95"/>
      <c r="D41" s="7"/>
      <c r="E41" s="95"/>
      <c r="F41" s="7"/>
      <c r="G41" s="92"/>
      <c r="I41" s="9"/>
      <c r="J41" s="9"/>
    </row>
    <row r="42" spans="1:10" ht="15" customHeight="1" x14ac:dyDescent="0.3">
      <c r="A42" s="25" t="s">
        <v>121</v>
      </c>
      <c r="B42" s="92"/>
      <c r="C42" s="95">
        <f>B42/B$44*100</f>
        <v>0</v>
      </c>
      <c r="D42" s="18"/>
      <c r="E42" s="95">
        <f>D42/D$44*100</f>
        <v>0</v>
      </c>
      <c r="F42" s="18"/>
      <c r="G42" s="92">
        <f t="shared" ref="G42" si="37">F42/F$44*100</f>
        <v>0</v>
      </c>
      <c r="I42" s="92">
        <f t="shared" si="34"/>
        <v>0</v>
      </c>
      <c r="J42" s="92">
        <f t="shared" si="32"/>
        <v>0</v>
      </c>
    </row>
    <row r="43" spans="1:10" ht="8.25" customHeight="1" x14ac:dyDescent="0.3">
      <c r="B43" s="9"/>
      <c r="C43" s="99"/>
      <c r="D43" s="7"/>
      <c r="E43" s="99"/>
      <c r="F43" s="7"/>
      <c r="G43" s="9"/>
      <c r="I43" s="9"/>
      <c r="J43" s="9"/>
    </row>
    <row r="44" spans="1:10" ht="15.75" customHeight="1" x14ac:dyDescent="0.3">
      <c r="A44" s="134" t="s">
        <v>14</v>
      </c>
      <c r="B44" s="127">
        <f>B26+B8+B6</f>
        <v>473829.70997399464</v>
      </c>
      <c r="C44" s="128">
        <v>100</v>
      </c>
      <c r="D44" s="127">
        <f>D26+D8+D6</f>
        <v>497429.99374925601</v>
      </c>
      <c r="E44" s="128">
        <v>100</v>
      </c>
      <c r="F44" s="127">
        <f>F26+F8+F6</f>
        <v>531796.30729882396</v>
      </c>
      <c r="G44" s="101">
        <v>100</v>
      </c>
      <c r="I44" s="97">
        <f t="shared" ref="I44" si="38">D44-B44</f>
        <v>23600.28377526137</v>
      </c>
      <c r="J44" s="97">
        <f t="shared" ref="J44" si="39">F44-D44</f>
        <v>34366.313549567945</v>
      </c>
    </row>
    <row r="46" spans="1:10" x14ac:dyDescent="0.3">
      <c r="B46" s="6">
        <f>B44-PASSIVA!B58</f>
        <v>0</v>
      </c>
      <c r="D46" s="6">
        <f>D44-PASSIVA!D58</f>
        <v>0</v>
      </c>
      <c r="F46" s="6">
        <f>F44-PASSIVA!F58</f>
        <v>0</v>
      </c>
    </row>
  </sheetData>
  <mergeCells count="1">
    <mergeCell ref="I4:J4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topLeftCell="A19" workbookViewId="0">
      <selection activeCell="O28" sqref="O28"/>
    </sheetView>
  </sheetViews>
  <sheetFormatPr defaultRowHeight="14.4" x14ac:dyDescent="0.3"/>
  <cols>
    <col min="1" max="1" width="31.77734375" customWidth="1"/>
    <col min="2" max="2" width="13.21875" style="102" hidden="1" customWidth="1"/>
    <col min="3" max="3" width="9.77734375" style="102" customWidth="1"/>
    <col min="4" max="4" width="13.21875" style="102" hidden="1" customWidth="1"/>
    <col min="5" max="5" width="9.77734375" style="102" customWidth="1"/>
    <col min="6" max="6" width="13.21875" style="102" hidden="1" customWidth="1"/>
    <col min="7" max="7" width="9.77734375" style="102" customWidth="1"/>
    <col min="8" max="8" width="6.5546875" style="102" customWidth="1"/>
    <col min="9" max="10" width="9.77734375" style="102" customWidth="1"/>
    <col min="11" max="12" width="13.77734375" style="102" customWidth="1"/>
  </cols>
  <sheetData>
    <row r="1" spans="1:12" ht="15.6" x14ac:dyDescent="0.3">
      <c r="A1" s="104" t="str">
        <f>ACTIVA!A1</f>
        <v>VDO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3">
      <c r="A2" s="21" t="str">
        <f>ACTIVA!A2</f>
        <v>BALANS NA WINSTVERDELING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3">
      <c r="A3" s="6"/>
      <c r="B3" s="6"/>
      <c r="C3" s="324" t="s">
        <v>237</v>
      </c>
      <c r="D3" s="324"/>
      <c r="E3" s="324"/>
      <c r="F3" s="324"/>
      <c r="G3" s="324"/>
      <c r="H3" s="6"/>
      <c r="I3" s="325" t="s">
        <v>238</v>
      </c>
      <c r="J3" s="326"/>
      <c r="K3" s="326"/>
      <c r="L3" s="327"/>
    </row>
    <row r="4" spans="1:12" x14ac:dyDescent="0.3">
      <c r="A4" s="23" t="s">
        <v>0</v>
      </c>
      <c r="B4" s="87" t="s">
        <v>99</v>
      </c>
      <c r="C4" s="105" t="str">
        <f>ACTIVA!B4</f>
        <v>Jaar 1</v>
      </c>
      <c r="D4" s="90" t="s">
        <v>100</v>
      </c>
      <c r="E4" s="88" t="str">
        <f>ACTIVA!D4</f>
        <v>Jaar 2</v>
      </c>
      <c r="F4" s="90" t="s">
        <v>179</v>
      </c>
      <c r="G4" s="91" t="str">
        <f>ACTIVA!F4</f>
        <v>Jaar 3</v>
      </c>
      <c r="H4" s="16"/>
      <c r="I4" s="322" t="s">
        <v>140</v>
      </c>
      <c r="J4" s="323"/>
      <c r="K4" s="322" t="s">
        <v>178</v>
      </c>
      <c r="L4" s="323"/>
    </row>
    <row r="5" spans="1:12" ht="15" customHeight="1" x14ac:dyDescent="0.3">
      <c r="A5" s="6"/>
      <c r="B5" s="92"/>
      <c r="C5" s="94" t="s">
        <v>139</v>
      </c>
      <c r="D5" s="94"/>
      <c r="E5" s="94" t="s">
        <v>139</v>
      </c>
      <c r="F5" s="94"/>
      <c r="G5" s="94" t="s">
        <v>139</v>
      </c>
      <c r="H5" s="6"/>
      <c r="I5" s="94" t="s">
        <v>141</v>
      </c>
      <c r="J5" s="85" t="s">
        <v>142</v>
      </c>
      <c r="K5" s="94" t="s">
        <v>141</v>
      </c>
      <c r="L5" s="85" t="s">
        <v>142</v>
      </c>
    </row>
    <row r="6" spans="1:12" ht="22.5" customHeight="1" x14ac:dyDescent="0.3">
      <c r="A6" s="25" t="str">
        <f>ACTIVA!A6</f>
        <v>Oprichtingskosten</v>
      </c>
      <c r="B6" s="92">
        <f>ACTIVA!B6</f>
        <v>0</v>
      </c>
      <c r="C6" s="139">
        <f>B6/B$44*100</f>
        <v>0</v>
      </c>
      <c r="D6" s="139"/>
      <c r="E6" s="139">
        <f>D6/D$44*100</f>
        <v>0</v>
      </c>
      <c r="F6" s="139"/>
      <c r="G6" s="139">
        <f>F6/F$44*100</f>
        <v>0</v>
      </c>
      <c r="H6" s="25"/>
      <c r="I6" s="137" t="e">
        <f t="shared" ref="I6" si="0">(D6-B6)/B6*100</f>
        <v>#DIV/0!</v>
      </c>
      <c r="J6" s="137" t="e">
        <f t="shared" ref="J6" si="1">(F6-D6)/D6*100</f>
        <v>#DIV/0!</v>
      </c>
      <c r="K6" s="137">
        <f t="shared" ref="K6" si="2">D6-B6</f>
        <v>0</v>
      </c>
      <c r="L6" s="137">
        <f t="shared" ref="L6" si="3">F6-D6</f>
        <v>0</v>
      </c>
    </row>
    <row r="7" spans="1:12" ht="6.75" customHeight="1" x14ac:dyDescent="0.3">
      <c r="A7" s="25"/>
      <c r="B7" s="92"/>
      <c r="C7" s="137"/>
      <c r="D7" s="137"/>
      <c r="E7" s="137"/>
      <c r="F7" s="137"/>
      <c r="G7" s="137"/>
      <c r="H7" s="25"/>
      <c r="I7" s="137"/>
      <c r="J7" s="137"/>
      <c r="K7" s="138"/>
      <c r="L7" s="140"/>
    </row>
    <row r="8" spans="1:12" x14ac:dyDescent="0.3">
      <c r="A8" s="126" t="s">
        <v>1</v>
      </c>
      <c r="B8" s="127">
        <f>B10+B15+B24</f>
        <v>304000</v>
      </c>
      <c r="C8" s="131">
        <f>B8/B$44*100</f>
        <v>64.15807063189105</v>
      </c>
      <c r="D8" s="131">
        <f>D10+D15+D24</f>
        <v>262000</v>
      </c>
      <c r="E8" s="131">
        <f>D8/D$44*100</f>
        <v>52.670728201417759</v>
      </c>
      <c r="F8" s="131">
        <f>F10+F15+F24</f>
        <v>220000</v>
      </c>
      <c r="G8" s="131">
        <f>F8/F$44*100</f>
        <v>41.369222948812023</v>
      </c>
      <c r="H8" s="6"/>
      <c r="I8" s="131">
        <f>(D8-B8)/B8*100</f>
        <v>-13.815789473684212</v>
      </c>
      <c r="J8" s="131">
        <f>(F8-D8)/D8*100</f>
        <v>-16.030534351145036</v>
      </c>
      <c r="K8" s="135">
        <f>D8-B8</f>
        <v>-42000</v>
      </c>
      <c r="L8" s="136">
        <f>F8-D8</f>
        <v>-42000</v>
      </c>
    </row>
    <row r="9" spans="1:12" ht="6.75" customHeight="1" x14ac:dyDescent="0.3">
      <c r="A9" s="6"/>
      <c r="B9" s="9"/>
      <c r="C9" s="92"/>
      <c r="D9" s="9"/>
      <c r="E9" s="92"/>
      <c r="F9" s="9"/>
      <c r="G9" s="92"/>
      <c r="H9" s="6"/>
      <c r="I9" s="92"/>
      <c r="J9" s="92"/>
      <c r="K9" s="9"/>
      <c r="L9" s="9"/>
    </row>
    <row r="10" spans="1:12" x14ac:dyDescent="0.3">
      <c r="A10" s="25" t="s">
        <v>3</v>
      </c>
      <c r="B10" s="92">
        <f>B12+B13</f>
        <v>0</v>
      </c>
      <c r="C10" s="137">
        <f>B10/B$44*100</f>
        <v>0</v>
      </c>
      <c r="D10" s="137">
        <f t="shared" ref="D10:F10" si="4">D12+D13</f>
        <v>0</v>
      </c>
      <c r="E10" s="137">
        <f>D10/D$44*100</f>
        <v>0</v>
      </c>
      <c r="F10" s="137">
        <f t="shared" si="4"/>
        <v>0</v>
      </c>
      <c r="G10" s="137">
        <f t="shared" ref="G10" si="5">F10/F$44*100</f>
        <v>0</v>
      </c>
      <c r="H10" s="6"/>
      <c r="I10" s="137" t="e">
        <f t="shared" ref="I10:I44" si="6">(D10-B10)/B10*100</f>
        <v>#DIV/0!</v>
      </c>
      <c r="J10" s="137" t="e">
        <f t="shared" ref="J10:J44" si="7">(F10-D10)/D10*100</f>
        <v>#DIV/0!</v>
      </c>
      <c r="K10" s="137">
        <f t="shared" ref="K10" si="8">D10-B10</f>
        <v>0</v>
      </c>
      <c r="L10" s="137">
        <f t="shared" ref="L10" si="9">F10-D10</f>
        <v>0</v>
      </c>
    </row>
    <row r="11" spans="1:12" ht="6.75" customHeight="1" x14ac:dyDescent="0.3">
      <c r="A11" s="6"/>
      <c r="B11" s="9"/>
      <c r="C11" s="92"/>
      <c r="D11" s="9"/>
      <c r="E11" s="92"/>
      <c r="F11" s="9"/>
      <c r="G11" s="92"/>
      <c r="H11" s="6"/>
      <c r="I11" s="9"/>
      <c r="J11" s="9"/>
      <c r="K11" s="9"/>
      <c r="L11" s="9"/>
    </row>
    <row r="12" spans="1:12" x14ac:dyDescent="0.3">
      <c r="A12" s="6" t="str">
        <f>ACTIVA!A12</f>
        <v>Octrooien, concessies, …</v>
      </c>
      <c r="B12" s="9">
        <f>ACTIVA!B12</f>
        <v>0</v>
      </c>
      <c r="C12" s="9">
        <f>B12/B$44*100</f>
        <v>0</v>
      </c>
      <c r="D12" s="9">
        <f>ACTIVA!D12</f>
        <v>0</v>
      </c>
      <c r="E12" s="9">
        <f>D12/D$44*100</f>
        <v>0</v>
      </c>
      <c r="F12" s="9">
        <f>ACTIVA!F12</f>
        <v>0</v>
      </c>
      <c r="G12" s="9">
        <f>F12/F$44*100</f>
        <v>0</v>
      </c>
      <c r="H12" s="6"/>
      <c r="I12" s="9" t="e">
        <f t="shared" si="6"/>
        <v>#DIV/0!</v>
      </c>
      <c r="J12" s="9" t="e">
        <f t="shared" si="7"/>
        <v>#DIV/0!</v>
      </c>
      <c r="K12" s="9">
        <f t="shared" ref="K12" si="10">D12-B12</f>
        <v>0</v>
      </c>
      <c r="L12" s="9">
        <f t="shared" ref="L12" si="11">F12-D12</f>
        <v>0</v>
      </c>
    </row>
    <row r="13" spans="1:12" x14ac:dyDescent="0.3">
      <c r="A13" s="6" t="str">
        <f>ACTIVA!A13</f>
        <v>Goodwill</v>
      </c>
      <c r="B13" s="9">
        <f>ACTIVA!B13</f>
        <v>0</v>
      </c>
      <c r="C13" s="9">
        <f>B13/B$44*100</f>
        <v>0</v>
      </c>
      <c r="D13" s="9">
        <f>ACTIVA!D13</f>
        <v>0</v>
      </c>
      <c r="E13" s="9">
        <f>D13/D$44*100</f>
        <v>0</v>
      </c>
      <c r="F13" s="9">
        <f>ACTIVA!F13</f>
        <v>0</v>
      </c>
      <c r="G13" s="9">
        <f>F13/F$44*100</f>
        <v>0</v>
      </c>
      <c r="H13" s="6"/>
      <c r="I13" s="9" t="e">
        <f t="shared" si="6"/>
        <v>#DIV/0!</v>
      </c>
      <c r="J13" s="9" t="e">
        <f t="shared" si="7"/>
        <v>#DIV/0!</v>
      </c>
      <c r="K13" s="9">
        <f t="shared" ref="K13" si="12">D13-B13</f>
        <v>0</v>
      </c>
      <c r="L13" s="9">
        <f t="shared" ref="L13" si="13">F13-D13</f>
        <v>0</v>
      </c>
    </row>
    <row r="14" spans="1:12" ht="7.5" customHeight="1" x14ac:dyDescent="0.3">
      <c r="A14" s="6"/>
      <c r="B14" s="9"/>
      <c r="C14" s="92"/>
      <c r="D14" s="9"/>
      <c r="E14" s="92"/>
      <c r="F14" s="9"/>
      <c r="G14" s="92"/>
      <c r="H14" s="6"/>
      <c r="I14" s="9"/>
      <c r="J14" s="9"/>
      <c r="K14" s="9"/>
      <c r="L14" s="9"/>
    </row>
    <row r="15" spans="1:12" x14ac:dyDescent="0.3">
      <c r="A15" s="25" t="s">
        <v>4</v>
      </c>
      <c r="B15" s="92">
        <f>SUM(B17:B22)</f>
        <v>304000</v>
      </c>
      <c r="C15" s="137">
        <f>B15/B$44*100</f>
        <v>64.15807063189105</v>
      </c>
      <c r="D15" s="137">
        <f t="shared" ref="D15:F15" si="14">SUM(D17:D22)</f>
        <v>262000</v>
      </c>
      <c r="E15" s="137">
        <f>D15/D$44*100</f>
        <v>52.670728201417759</v>
      </c>
      <c r="F15" s="137">
        <f t="shared" si="14"/>
        <v>220000</v>
      </c>
      <c r="G15" s="137">
        <f t="shared" ref="G15" si="15">F15/F$44*100</f>
        <v>41.369222948812023</v>
      </c>
      <c r="H15" s="25"/>
      <c r="I15" s="137">
        <f t="shared" si="6"/>
        <v>-13.815789473684212</v>
      </c>
      <c r="J15" s="137">
        <f t="shared" si="7"/>
        <v>-16.030534351145036</v>
      </c>
      <c r="K15" s="137">
        <f>D15-B15</f>
        <v>-42000</v>
      </c>
      <c r="L15" s="137">
        <f>F15-D15</f>
        <v>-42000</v>
      </c>
    </row>
    <row r="16" spans="1:12" ht="6.75" customHeight="1" x14ac:dyDescent="0.3">
      <c r="A16" s="6"/>
      <c r="B16" s="9"/>
      <c r="C16" s="92"/>
      <c r="D16" s="9"/>
      <c r="E16" s="92"/>
      <c r="F16" s="9"/>
      <c r="G16" s="92"/>
      <c r="H16" s="6"/>
      <c r="I16" s="9"/>
      <c r="J16" s="9"/>
      <c r="K16" s="9"/>
      <c r="L16" s="9"/>
    </row>
    <row r="17" spans="1:12" x14ac:dyDescent="0.3">
      <c r="A17" s="6" t="str">
        <f>ACTIVA!A17</f>
        <v>Terrein en gebouwen</v>
      </c>
      <c r="B17" s="9">
        <f>ACTIVA!B17</f>
        <v>0</v>
      </c>
      <c r="C17" s="9">
        <f t="shared" ref="C17:C22" si="16">B17/B$44*100</f>
        <v>0</v>
      </c>
      <c r="D17" s="9">
        <f>ACTIVA!D17</f>
        <v>0</v>
      </c>
      <c r="E17" s="9">
        <f t="shared" ref="E17:E22" si="17">D17/D$44*100</f>
        <v>0</v>
      </c>
      <c r="F17" s="9">
        <f>ACTIVA!F17</f>
        <v>0</v>
      </c>
      <c r="G17" s="9">
        <f t="shared" ref="G17:G22" si="18">F17/F$44*100</f>
        <v>0</v>
      </c>
      <c r="H17" s="6"/>
      <c r="I17" s="9" t="e">
        <f t="shared" si="6"/>
        <v>#DIV/0!</v>
      </c>
      <c r="J17" s="9" t="e">
        <f t="shared" si="7"/>
        <v>#DIV/0!</v>
      </c>
      <c r="K17" s="9">
        <f t="shared" ref="K17:K24" si="19">D17-B17</f>
        <v>0</v>
      </c>
      <c r="L17" s="9">
        <f t="shared" ref="L17:L24" si="20">F17-D17</f>
        <v>0</v>
      </c>
    </row>
    <row r="18" spans="1:12" x14ac:dyDescent="0.3">
      <c r="A18" s="6" t="str">
        <f>ACTIVA!A18</f>
        <v>Machines, Installaties, Uitrusting</v>
      </c>
      <c r="B18" s="9">
        <f>ACTIVA!B18</f>
        <v>270000</v>
      </c>
      <c r="C18" s="9">
        <f t="shared" si="16"/>
        <v>56.98249694279798</v>
      </c>
      <c r="D18" s="9">
        <f>ACTIVA!D18</f>
        <v>240000</v>
      </c>
      <c r="E18" s="9">
        <f t="shared" si="17"/>
        <v>48.247995299008636</v>
      </c>
      <c r="F18" s="9">
        <f>ACTIVA!F18</f>
        <v>210000</v>
      </c>
      <c r="G18" s="9">
        <f t="shared" si="18"/>
        <v>39.48880372386602</v>
      </c>
      <c r="H18" s="6"/>
      <c r="I18" s="9">
        <f t="shared" si="6"/>
        <v>-11.111111111111111</v>
      </c>
      <c r="J18" s="9">
        <f t="shared" si="7"/>
        <v>-12.5</v>
      </c>
      <c r="K18" s="9">
        <f t="shared" si="19"/>
        <v>-30000</v>
      </c>
      <c r="L18" s="9">
        <f t="shared" si="20"/>
        <v>-30000</v>
      </c>
    </row>
    <row r="19" spans="1:12" x14ac:dyDescent="0.3">
      <c r="A19" s="6" t="str">
        <f>ACTIVA!A19</f>
        <v>Meubilair, Inrichting</v>
      </c>
      <c r="B19" s="9">
        <f>ACTIVA!B19</f>
        <v>34000</v>
      </c>
      <c r="C19" s="9">
        <f t="shared" si="16"/>
        <v>7.1755736890930777</v>
      </c>
      <c r="D19" s="9">
        <f>ACTIVA!D19</f>
        <v>22000</v>
      </c>
      <c r="E19" s="9">
        <f t="shared" si="17"/>
        <v>4.4227329024091251</v>
      </c>
      <c r="F19" s="9">
        <f>ACTIVA!F19</f>
        <v>10000</v>
      </c>
      <c r="G19" s="9">
        <f t="shared" si="18"/>
        <v>1.8804192249460012</v>
      </c>
      <c r="H19" s="6"/>
      <c r="I19" s="9">
        <f t="shared" si="6"/>
        <v>-35.294117647058826</v>
      </c>
      <c r="J19" s="9">
        <f t="shared" si="7"/>
        <v>-54.54545454545454</v>
      </c>
      <c r="K19" s="9">
        <f t="shared" si="19"/>
        <v>-12000</v>
      </c>
      <c r="L19" s="9">
        <f t="shared" si="20"/>
        <v>-12000</v>
      </c>
    </row>
    <row r="20" spans="1:12" x14ac:dyDescent="0.3">
      <c r="A20" s="6" t="str">
        <f>ACTIVA!A20</f>
        <v>Rollend Materieel</v>
      </c>
      <c r="B20" s="9">
        <f>ACTIVA!B20</f>
        <v>0</v>
      </c>
      <c r="C20" s="9">
        <f t="shared" si="16"/>
        <v>0</v>
      </c>
      <c r="D20" s="9">
        <f>ACTIVA!D20</f>
        <v>0</v>
      </c>
      <c r="E20" s="9">
        <f t="shared" si="17"/>
        <v>0</v>
      </c>
      <c r="F20" s="9">
        <f>ACTIVA!F20</f>
        <v>0</v>
      </c>
      <c r="G20" s="9">
        <f t="shared" si="18"/>
        <v>0</v>
      </c>
      <c r="H20" s="6"/>
      <c r="I20" s="9" t="e">
        <f t="shared" si="6"/>
        <v>#DIV/0!</v>
      </c>
      <c r="J20" s="9" t="e">
        <f t="shared" si="7"/>
        <v>#DIV/0!</v>
      </c>
      <c r="K20" s="9">
        <f t="shared" si="19"/>
        <v>0</v>
      </c>
      <c r="L20" s="9">
        <f t="shared" si="20"/>
        <v>0</v>
      </c>
    </row>
    <row r="21" spans="1:12" x14ac:dyDescent="0.3">
      <c r="A21" s="6" t="str">
        <f>ACTIVA!A21</f>
        <v>Leasing en soortgelijke rechten</v>
      </c>
      <c r="B21" s="9">
        <f>ACTIVA!B21</f>
        <v>0</v>
      </c>
      <c r="C21" s="9">
        <f t="shared" si="16"/>
        <v>0</v>
      </c>
      <c r="D21" s="9">
        <f>ACTIVA!D21</f>
        <v>0</v>
      </c>
      <c r="E21" s="9">
        <f t="shared" si="17"/>
        <v>0</v>
      </c>
      <c r="F21" s="9">
        <f>ACTIVA!F21</f>
        <v>0</v>
      </c>
      <c r="G21" s="9">
        <f t="shared" si="18"/>
        <v>0</v>
      </c>
      <c r="H21" s="6"/>
      <c r="I21" s="9" t="e">
        <f t="shared" si="6"/>
        <v>#DIV/0!</v>
      </c>
      <c r="J21" s="9" t="e">
        <f t="shared" si="7"/>
        <v>#DIV/0!</v>
      </c>
      <c r="K21" s="9">
        <f t="shared" si="19"/>
        <v>0</v>
      </c>
      <c r="L21" s="9">
        <f t="shared" si="20"/>
        <v>0</v>
      </c>
    </row>
    <row r="22" spans="1:12" x14ac:dyDescent="0.3">
      <c r="A22" s="6" t="str">
        <f>ACTIVA!A22</f>
        <v>Overige Materiële Vaste Activa</v>
      </c>
      <c r="B22" s="9">
        <f>ACTIVA!B22</f>
        <v>0</v>
      </c>
      <c r="C22" s="9">
        <f t="shared" si="16"/>
        <v>0</v>
      </c>
      <c r="D22" s="9">
        <f>ACTIVA!D22</f>
        <v>0</v>
      </c>
      <c r="E22" s="9">
        <f t="shared" si="17"/>
        <v>0</v>
      </c>
      <c r="F22" s="9">
        <f>ACTIVA!F22</f>
        <v>0</v>
      </c>
      <c r="G22" s="9">
        <f t="shared" si="18"/>
        <v>0</v>
      </c>
      <c r="H22" s="6"/>
      <c r="I22" s="9" t="e">
        <f t="shared" si="6"/>
        <v>#DIV/0!</v>
      </c>
      <c r="J22" s="9" t="e">
        <f t="shared" si="7"/>
        <v>#DIV/0!</v>
      </c>
      <c r="K22" s="9">
        <f t="shared" si="19"/>
        <v>0</v>
      </c>
      <c r="L22" s="9">
        <f t="shared" si="20"/>
        <v>0</v>
      </c>
    </row>
    <row r="23" spans="1:12" ht="7.5" customHeight="1" x14ac:dyDescent="0.3">
      <c r="A23" s="6"/>
      <c r="B23" s="9"/>
      <c r="C23" s="92"/>
      <c r="D23" s="9"/>
      <c r="E23" s="92"/>
      <c r="F23" s="9"/>
      <c r="G23" s="92"/>
      <c r="H23" s="6"/>
      <c r="I23" s="9"/>
      <c r="J23" s="9"/>
      <c r="K23" s="9"/>
      <c r="L23" s="9"/>
    </row>
    <row r="24" spans="1:12" x14ac:dyDescent="0.3">
      <c r="A24" s="25" t="str">
        <f>ACTIVA!A24</f>
        <v>Financiële Vaste Activa</v>
      </c>
      <c r="B24" s="9">
        <f>ACTIVA!B24</f>
        <v>0</v>
      </c>
      <c r="C24" s="137">
        <f>B24/B$44*100</f>
        <v>0</v>
      </c>
      <c r="D24" s="138">
        <f>ACTIVA!D24</f>
        <v>0</v>
      </c>
      <c r="E24" s="137">
        <f>D24/D$44*100</f>
        <v>0</v>
      </c>
      <c r="F24" s="138">
        <f>ACTIVA!F24</f>
        <v>0</v>
      </c>
      <c r="G24" s="137">
        <f t="shared" ref="G24" si="21">F24/F$44*100</f>
        <v>0</v>
      </c>
      <c r="H24" s="109"/>
      <c r="I24" s="137" t="e">
        <f t="shared" si="6"/>
        <v>#DIV/0!</v>
      </c>
      <c r="J24" s="137" t="e">
        <f t="shared" si="7"/>
        <v>#DIV/0!</v>
      </c>
      <c r="K24" s="137">
        <f t="shared" si="19"/>
        <v>0</v>
      </c>
      <c r="L24" s="137">
        <f t="shared" si="20"/>
        <v>0</v>
      </c>
    </row>
    <row r="25" spans="1:12" ht="8.25" customHeight="1" x14ac:dyDescent="0.3">
      <c r="A25" s="6"/>
      <c r="B25" s="9"/>
      <c r="C25" s="92"/>
      <c r="D25" s="9"/>
      <c r="E25" s="92"/>
      <c r="F25" s="9"/>
      <c r="G25" s="92"/>
      <c r="H25" s="6"/>
      <c r="I25" s="9"/>
      <c r="J25" s="9"/>
      <c r="K25" s="9"/>
      <c r="L25" s="9"/>
    </row>
    <row r="26" spans="1:12" x14ac:dyDescent="0.3">
      <c r="A26" s="126" t="s">
        <v>6</v>
      </c>
      <c r="B26" s="127">
        <f>B28+B30+B39+B34+B42</f>
        <v>169829.70997399464</v>
      </c>
      <c r="C26" s="131">
        <f>B26/B$44*100</f>
        <v>35.84192936810895</v>
      </c>
      <c r="D26" s="131">
        <f>D28+D30+D39+D34+D42</f>
        <v>235429.99374925601</v>
      </c>
      <c r="E26" s="131">
        <f>D26/D$44*100</f>
        <v>47.329271798582241</v>
      </c>
      <c r="F26" s="131">
        <f t="shared" ref="F26" si="22">F28+F30+F39+F34+F42</f>
        <v>311796.30729882396</v>
      </c>
      <c r="G26" s="131">
        <f t="shared" ref="G26" si="23">F26/F$44*100</f>
        <v>58.630777051187977</v>
      </c>
      <c r="H26" s="6"/>
      <c r="I26" s="131">
        <f t="shared" si="6"/>
        <v>38.627095215146092</v>
      </c>
      <c r="J26" s="131">
        <f t="shared" si="7"/>
        <v>32.436951780622167</v>
      </c>
      <c r="K26" s="135">
        <f>D26-B26</f>
        <v>65600.28377526137</v>
      </c>
      <c r="L26" s="135">
        <f>F26-D26</f>
        <v>76366.313549567945</v>
      </c>
    </row>
    <row r="27" spans="1:12" ht="7.5" customHeight="1" x14ac:dyDescent="0.3">
      <c r="A27" s="6"/>
      <c r="B27" s="9"/>
      <c r="C27" s="92"/>
      <c r="D27" s="9"/>
      <c r="E27" s="92"/>
      <c r="F27" s="9"/>
      <c r="G27" s="92"/>
      <c r="H27" s="6"/>
      <c r="I27" s="9"/>
      <c r="J27" s="9"/>
      <c r="K27" s="9"/>
      <c r="L27" s="9"/>
    </row>
    <row r="28" spans="1:12" x14ac:dyDescent="0.3">
      <c r="A28" s="25" t="str">
        <f>ACTIVA!A28</f>
        <v>Vorderingen op + 1 Jaar</v>
      </c>
      <c r="B28" s="92"/>
      <c r="C28" s="137">
        <f>B28/B$44*100</f>
        <v>0</v>
      </c>
      <c r="D28" s="137"/>
      <c r="E28" s="137">
        <f>D28/D$44*100</f>
        <v>0</v>
      </c>
      <c r="F28" s="137"/>
      <c r="G28" s="137">
        <f t="shared" ref="G28" si="24">F28/F$44*100</f>
        <v>0</v>
      </c>
      <c r="H28" s="25"/>
      <c r="I28" s="137" t="e">
        <f t="shared" si="6"/>
        <v>#DIV/0!</v>
      </c>
      <c r="J28" s="137" t="e">
        <f t="shared" si="7"/>
        <v>#DIV/0!</v>
      </c>
      <c r="K28" s="137">
        <f t="shared" ref="K28:K32" si="25">D28-B28</f>
        <v>0</v>
      </c>
      <c r="L28" s="137">
        <f t="shared" ref="L28:L32" si="26">F28-D28</f>
        <v>0</v>
      </c>
    </row>
    <row r="29" spans="1:12" ht="8.25" customHeight="1" x14ac:dyDescent="0.3">
      <c r="A29" s="6"/>
      <c r="B29" s="9"/>
      <c r="C29" s="92"/>
      <c r="D29" s="9"/>
      <c r="E29" s="92"/>
      <c r="F29" s="9"/>
      <c r="G29" s="92"/>
      <c r="H29" s="6"/>
      <c r="I29" s="92"/>
      <c r="J29" s="92"/>
      <c r="K29" s="9"/>
      <c r="L29" s="9"/>
    </row>
    <row r="30" spans="1:12" x14ac:dyDescent="0.3">
      <c r="A30" s="25" t="str">
        <f>ACTIVA!A30</f>
        <v>Voorraden</v>
      </c>
      <c r="B30" s="92">
        <f>B31+B32</f>
        <v>0</v>
      </c>
      <c r="C30" s="137">
        <f>B30/B$44*100</f>
        <v>0</v>
      </c>
      <c r="D30" s="137">
        <f>D31+D32</f>
        <v>0</v>
      </c>
      <c r="E30" s="137">
        <f>D30/D$44*100</f>
        <v>0</v>
      </c>
      <c r="F30" s="137">
        <f>F31+F32</f>
        <v>0</v>
      </c>
      <c r="G30" s="137">
        <f t="shared" ref="G30:G32" si="27">F30/F$44*100</f>
        <v>0</v>
      </c>
      <c r="H30" s="25"/>
      <c r="I30" s="137" t="e">
        <f t="shared" si="6"/>
        <v>#DIV/0!</v>
      </c>
      <c r="J30" s="137" t="e">
        <f t="shared" si="7"/>
        <v>#DIV/0!</v>
      </c>
      <c r="K30" s="137">
        <f t="shared" si="25"/>
        <v>0</v>
      </c>
      <c r="L30" s="137">
        <f t="shared" si="26"/>
        <v>0</v>
      </c>
    </row>
    <row r="31" spans="1:12" x14ac:dyDescent="0.3">
      <c r="A31" s="6" t="str">
        <f>ACTIVA!A31</f>
        <v>Voorraad Handelsgoederen</v>
      </c>
      <c r="B31" s="9">
        <f>ACTIVA!B31</f>
        <v>0</v>
      </c>
      <c r="C31" s="9">
        <f>B31/B$44*100</f>
        <v>0</v>
      </c>
      <c r="D31" s="9">
        <f>ACTIVA!D31</f>
        <v>0</v>
      </c>
      <c r="E31" s="9">
        <f>D31/D$44*100</f>
        <v>0</v>
      </c>
      <c r="F31" s="9">
        <f>ACTIVA!F31</f>
        <v>0</v>
      </c>
      <c r="G31" s="9">
        <f t="shared" si="27"/>
        <v>0</v>
      </c>
      <c r="H31" s="6"/>
      <c r="I31" s="9" t="e">
        <f t="shared" si="6"/>
        <v>#DIV/0!</v>
      </c>
      <c r="J31" s="9" t="e">
        <f t="shared" si="7"/>
        <v>#DIV/0!</v>
      </c>
      <c r="K31" s="9">
        <f t="shared" si="25"/>
        <v>0</v>
      </c>
      <c r="L31" s="9">
        <f t="shared" si="26"/>
        <v>0</v>
      </c>
    </row>
    <row r="32" spans="1:12" x14ac:dyDescent="0.3">
      <c r="A32" s="6" t="str">
        <f>ACTIVA!A32</f>
        <v>Bestellingen in uitvoering</v>
      </c>
      <c r="B32" s="9">
        <f>ACTIVA!B32</f>
        <v>0</v>
      </c>
      <c r="C32" s="9">
        <f>B32/B$44*100</f>
        <v>0</v>
      </c>
      <c r="D32" s="9">
        <f>ACTIVA!D32</f>
        <v>0</v>
      </c>
      <c r="E32" s="9">
        <f>D32/D$44*100</f>
        <v>0</v>
      </c>
      <c r="F32" s="9">
        <f>ACTIVA!F32</f>
        <v>0</v>
      </c>
      <c r="G32" s="9">
        <f t="shared" si="27"/>
        <v>0</v>
      </c>
      <c r="H32" s="6"/>
      <c r="I32" s="9" t="e">
        <f t="shared" si="6"/>
        <v>#DIV/0!</v>
      </c>
      <c r="J32" s="9" t="e">
        <f t="shared" si="7"/>
        <v>#DIV/0!</v>
      </c>
      <c r="K32" s="9">
        <f t="shared" si="25"/>
        <v>0</v>
      </c>
      <c r="L32" s="9">
        <f t="shared" si="26"/>
        <v>0</v>
      </c>
    </row>
    <row r="33" spans="1:12" ht="6.75" customHeight="1" x14ac:dyDescent="0.3">
      <c r="A33" s="6"/>
      <c r="B33" s="9"/>
      <c r="C33" s="92"/>
      <c r="D33" s="9"/>
      <c r="E33" s="92"/>
      <c r="F33" s="9"/>
      <c r="G33" s="92"/>
      <c r="H33" s="6"/>
      <c r="I33" s="9"/>
      <c r="J33" s="9"/>
      <c r="K33" s="9"/>
      <c r="L33" s="9"/>
    </row>
    <row r="34" spans="1:12" x14ac:dyDescent="0.3">
      <c r="A34" s="25" t="str">
        <f>ACTIVA!A34</f>
        <v>Vorderingen op - 1 Jaar</v>
      </c>
      <c r="B34" s="92">
        <f>B35+B37</f>
        <v>62000</v>
      </c>
      <c r="C34" s="137">
        <f>B34/B$44*100</f>
        <v>13.084869668346203</v>
      </c>
      <c r="D34" s="137">
        <f>D35+D37</f>
        <v>65100</v>
      </c>
      <c r="E34" s="137">
        <f>D34/D$44*100</f>
        <v>13.087268724856093</v>
      </c>
      <c r="F34" s="137">
        <f>F35+F37</f>
        <v>68355</v>
      </c>
      <c r="G34" s="137">
        <f t="shared" ref="G34:G37" si="28">F34/F$44*100</f>
        <v>12.85360561211839</v>
      </c>
      <c r="H34" s="25"/>
      <c r="I34" s="137">
        <f t="shared" si="6"/>
        <v>5</v>
      </c>
      <c r="J34" s="137">
        <f t="shared" si="7"/>
        <v>5</v>
      </c>
      <c r="K34" s="137">
        <f>D34-B34</f>
        <v>3100</v>
      </c>
      <c r="L34" s="137">
        <f>F34-D34</f>
        <v>3255</v>
      </c>
    </row>
    <row r="35" spans="1:12" x14ac:dyDescent="0.3">
      <c r="A35" s="6" t="str">
        <f>ACTIVA!A35</f>
        <v>Handelsvorderingen</v>
      </c>
      <c r="B35" s="9">
        <f>ACTIVA!B35</f>
        <v>62000</v>
      </c>
      <c r="C35" s="9">
        <f>B35/B$44*100</f>
        <v>13.084869668346203</v>
      </c>
      <c r="D35" s="9">
        <f>ACTIVA!D35</f>
        <v>65100</v>
      </c>
      <c r="E35" s="9">
        <f>D35/D$44*100</f>
        <v>13.087268724856093</v>
      </c>
      <c r="F35" s="9">
        <f>ACTIVA!F35</f>
        <v>68355</v>
      </c>
      <c r="G35" s="9">
        <f t="shared" si="28"/>
        <v>12.85360561211839</v>
      </c>
      <c r="H35" s="6"/>
      <c r="I35" s="9">
        <f t="shared" si="6"/>
        <v>5</v>
      </c>
      <c r="J35" s="9">
        <f t="shared" si="7"/>
        <v>5</v>
      </c>
      <c r="K35" s="9">
        <f>D35-B35</f>
        <v>3100</v>
      </c>
      <c r="L35" s="9">
        <f t="shared" ref="L35:L42" si="29">F35-D35</f>
        <v>3255</v>
      </c>
    </row>
    <row r="36" spans="1:12" x14ac:dyDescent="0.3">
      <c r="A36" s="6" t="str">
        <f>ACTIVA!A36</f>
        <v>Overige Vorderingen</v>
      </c>
      <c r="B36" s="9"/>
      <c r="C36" s="9">
        <f>B36/B$44*100</f>
        <v>0</v>
      </c>
      <c r="D36" s="9"/>
      <c r="E36" s="9">
        <f>D36/D$44*100</f>
        <v>0</v>
      </c>
      <c r="F36" s="9"/>
      <c r="G36" s="9">
        <f t="shared" si="28"/>
        <v>0</v>
      </c>
      <c r="H36" s="6"/>
      <c r="I36" s="9" t="e">
        <f t="shared" ref="I36" si="30">(D36-B36)/B36*100</f>
        <v>#DIV/0!</v>
      </c>
      <c r="J36" s="9" t="e">
        <f t="shared" ref="J36" si="31">(F36-D36)/D36*100</f>
        <v>#DIV/0!</v>
      </c>
      <c r="K36" s="9">
        <f>D36-B36</f>
        <v>0</v>
      </c>
      <c r="L36" s="9">
        <f t="shared" ref="L36" si="32">F36-D36</f>
        <v>0</v>
      </c>
    </row>
    <row r="37" spans="1:12" x14ac:dyDescent="0.3">
      <c r="A37" s="6" t="str">
        <f>ACTIVA!A37</f>
        <v>BTW</v>
      </c>
      <c r="B37" s="9">
        <f>ACTIVA!B37</f>
        <v>0</v>
      </c>
      <c r="C37" s="9">
        <f>B37/B$44*100</f>
        <v>0</v>
      </c>
      <c r="D37" s="9">
        <f>ACTIVA!D37</f>
        <v>0</v>
      </c>
      <c r="E37" s="9">
        <f>D37/D$44*100</f>
        <v>0</v>
      </c>
      <c r="F37" s="9">
        <f>ACTIVA!F37</f>
        <v>0</v>
      </c>
      <c r="G37" s="9">
        <f t="shared" si="28"/>
        <v>0</v>
      </c>
      <c r="H37" s="6"/>
      <c r="I37" s="9" t="e">
        <f t="shared" si="6"/>
        <v>#DIV/0!</v>
      </c>
      <c r="J37" s="9" t="e">
        <f t="shared" si="7"/>
        <v>#DIV/0!</v>
      </c>
      <c r="K37" s="9">
        <f t="shared" ref="K37:K42" si="33">D37-B37</f>
        <v>0</v>
      </c>
      <c r="L37" s="9">
        <f t="shared" si="29"/>
        <v>0</v>
      </c>
    </row>
    <row r="38" spans="1:12" ht="6.75" customHeight="1" x14ac:dyDescent="0.3">
      <c r="A38" s="6"/>
      <c r="B38" s="9"/>
      <c r="C38" s="92"/>
      <c r="D38" s="9"/>
      <c r="E38" s="92"/>
      <c r="F38" s="9"/>
      <c r="G38" s="92"/>
      <c r="H38" s="6"/>
      <c r="I38" s="9"/>
      <c r="J38" s="9"/>
      <c r="K38" s="9"/>
      <c r="L38" s="9"/>
    </row>
    <row r="39" spans="1:12" x14ac:dyDescent="0.3">
      <c r="A39" s="25" t="str">
        <f>ACTIVA!A39</f>
        <v>Liquide Middelen</v>
      </c>
      <c r="B39" s="92">
        <f>B40</f>
        <v>107829.70997399464</v>
      </c>
      <c r="C39" s="137">
        <f>B39/B$44*100</f>
        <v>22.757059699762745</v>
      </c>
      <c r="D39" s="137">
        <f>D40</f>
        <v>170329.99374925601</v>
      </c>
      <c r="E39" s="137">
        <f>D39/D$44*100</f>
        <v>34.242003073726146</v>
      </c>
      <c r="F39" s="137">
        <f>F40</f>
        <v>243441.30729882396</v>
      </c>
      <c r="G39" s="137">
        <f t="shared" ref="G39:G40" si="34">F39/F$44*100</f>
        <v>45.777171439069583</v>
      </c>
      <c r="H39" s="25"/>
      <c r="I39" s="137">
        <f t="shared" si="6"/>
        <v>57.962025299274757</v>
      </c>
      <c r="J39" s="137">
        <f t="shared" si="7"/>
        <v>42.923334839779088</v>
      </c>
      <c r="K39" s="137">
        <f t="shared" si="33"/>
        <v>62500.28377526137</v>
      </c>
      <c r="L39" s="137">
        <f t="shared" si="29"/>
        <v>73111.313549567945</v>
      </c>
    </row>
    <row r="40" spans="1:12" x14ac:dyDescent="0.3">
      <c r="A40" s="6" t="str">
        <f>ACTIVA!A40</f>
        <v>Bank</v>
      </c>
      <c r="B40" s="9">
        <f>ACTIVA!B40</f>
        <v>107829.70997399464</v>
      </c>
      <c r="C40" s="9">
        <f>B40/B$44*100</f>
        <v>22.757059699762745</v>
      </c>
      <c r="D40" s="9">
        <f>ACTIVA!D40</f>
        <v>170329.99374925601</v>
      </c>
      <c r="E40" s="9">
        <f>D40/D$44*100</f>
        <v>34.242003073726146</v>
      </c>
      <c r="F40" s="9">
        <f>ACTIVA!F40</f>
        <v>243441.30729882396</v>
      </c>
      <c r="G40" s="9">
        <f t="shared" si="34"/>
        <v>45.777171439069583</v>
      </c>
      <c r="H40" s="6"/>
      <c r="I40" s="9">
        <f t="shared" si="6"/>
        <v>57.962025299274757</v>
      </c>
      <c r="J40" s="9">
        <f t="shared" si="7"/>
        <v>42.923334839779088</v>
      </c>
      <c r="K40" s="9">
        <f t="shared" si="33"/>
        <v>62500.28377526137</v>
      </c>
      <c r="L40" s="9">
        <f t="shared" si="29"/>
        <v>73111.313549567945</v>
      </c>
    </row>
    <row r="41" spans="1:12" ht="6.75" customHeight="1" x14ac:dyDescent="0.3">
      <c r="A41" s="6"/>
      <c r="B41" s="9"/>
      <c r="C41" s="92"/>
      <c r="D41" s="9"/>
      <c r="E41" s="92"/>
      <c r="F41" s="9"/>
      <c r="G41" s="92"/>
      <c r="H41" s="6"/>
      <c r="I41" s="9"/>
      <c r="J41" s="9"/>
      <c r="K41" s="9"/>
      <c r="L41" s="9"/>
    </row>
    <row r="42" spans="1:12" x14ac:dyDescent="0.3">
      <c r="A42" s="25" t="str">
        <f>ACTIVA!A42</f>
        <v>Overlopende rekeningen</v>
      </c>
      <c r="B42" s="92">
        <f>ACTIVA!B42</f>
        <v>0</v>
      </c>
      <c r="C42" s="137">
        <f>B42/B$44*100</f>
        <v>0</v>
      </c>
      <c r="D42" s="137"/>
      <c r="E42" s="137">
        <f>D42/D$44*100</f>
        <v>0</v>
      </c>
      <c r="F42" s="137"/>
      <c r="G42" s="137">
        <f t="shared" ref="G42" si="35">F42/F$44*100</f>
        <v>0</v>
      </c>
      <c r="H42" s="25"/>
      <c r="I42" s="137" t="e">
        <f t="shared" si="6"/>
        <v>#DIV/0!</v>
      </c>
      <c r="J42" s="137" t="e">
        <f t="shared" si="7"/>
        <v>#DIV/0!</v>
      </c>
      <c r="K42" s="137">
        <f t="shared" si="33"/>
        <v>0</v>
      </c>
      <c r="L42" s="137">
        <f t="shared" si="29"/>
        <v>0</v>
      </c>
    </row>
    <row r="43" spans="1:12" ht="6.75" customHeight="1" x14ac:dyDescent="0.3">
      <c r="A43" s="6"/>
      <c r="B43" s="9"/>
      <c r="C43" s="9"/>
      <c r="D43" s="9"/>
      <c r="E43" s="9"/>
      <c r="F43" s="9"/>
      <c r="G43" s="9"/>
      <c r="H43" s="6"/>
      <c r="I43" s="9"/>
      <c r="J43" s="9"/>
      <c r="K43" s="9"/>
      <c r="L43" s="9"/>
    </row>
    <row r="44" spans="1:12" x14ac:dyDescent="0.3">
      <c r="A44" s="134" t="s">
        <v>14</v>
      </c>
      <c r="B44" s="127">
        <f>B26+B8+B6</f>
        <v>473829.70997399464</v>
      </c>
      <c r="C44" s="127">
        <v>100</v>
      </c>
      <c r="D44" s="127">
        <f>D26+D8+D6</f>
        <v>497429.99374925601</v>
      </c>
      <c r="E44" s="127">
        <v>100</v>
      </c>
      <c r="F44" s="127">
        <f>F26+F8+F6</f>
        <v>531796.30729882396</v>
      </c>
      <c r="G44" s="127">
        <v>100</v>
      </c>
      <c r="H44" s="6"/>
      <c r="I44" s="127">
        <f t="shared" si="6"/>
        <v>4.9807522150851691</v>
      </c>
      <c r="J44" s="127">
        <f t="shared" si="7"/>
        <v>6.9087738940992125</v>
      </c>
      <c r="K44" s="134">
        <f t="shared" ref="K44" si="36">D44-B44</f>
        <v>23600.28377526137</v>
      </c>
      <c r="L44" s="134">
        <f t="shared" ref="L44" si="37">F44-D44</f>
        <v>34366.313549567945</v>
      </c>
    </row>
  </sheetData>
  <sheetProtection algorithmName="SHA-512" hashValue="5JOsLViFDp/zhuAG5/Uw2ddHdqs1QjwxC+bDyGIJ0k7IlsgLFugDyOmhP61M9JChgVh276t1plxlvpsdYful4w==" saltValue="ts3cksGvbgOLOWEgHzYqbw==" spinCount="100000" sheet="1" objects="1" scenarios="1" selectLockedCells="1" selectUnlockedCells="1"/>
  <mergeCells count="4">
    <mergeCell ref="I4:J4"/>
    <mergeCell ref="K4:L4"/>
    <mergeCell ref="C3:G3"/>
    <mergeCell ref="I3:L3"/>
  </mergeCells>
  <pageMargins left="0.70866141732283472" right="0.70866141732283472" top="0.74803149606299213" bottom="0.74803149606299213" header="0.31496062992125984" footer="0.31496062992125984"/>
  <pageSetup paperSize="9" scale="9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8"/>
  <sheetViews>
    <sheetView topLeftCell="A37" zoomScale="142" zoomScaleNormal="142" workbookViewId="0">
      <selection activeCell="L46" sqref="L46"/>
    </sheetView>
  </sheetViews>
  <sheetFormatPr defaultColWidth="9.21875" defaultRowHeight="13.8" x14ac:dyDescent="0.3"/>
  <cols>
    <col min="1" max="1" width="38.5546875" style="6" bestFit="1" customWidth="1"/>
    <col min="2" max="2" width="15.77734375" style="2" customWidth="1"/>
    <col min="3" max="3" width="15.77734375" style="2" hidden="1" customWidth="1"/>
    <col min="4" max="4" width="15.77734375" style="2" customWidth="1"/>
    <col min="5" max="5" width="15.77734375" style="2" hidden="1" customWidth="1"/>
    <col min="6" max="6" width="15.77734375" style="2" customWidth="1"/>
    <col min="7" max="7" width="7" style="2" hidden="1" customWidth="1"/>
    <col min="8" max="8" width="2.77734375" style="6" customWidth="1"/>
    <col min="9" max="9" width="9.21875" style="2" hidden="1" customWidth="1"/>
    <col min="10" max="10" width="0" style="2" hidden="1" customWidth="1"/>
    <col min="11" max="12" width="9.5546875" style="6" bestFit="1" customWidth="1"/>
    <col min="13" max="13" width="9.21875" style="6"/>
    <col min="14" max="14" width="9.5546875" style="6" bestFit="1" customWidth="1"/>
    <col min="15" max="15" width="10.44140625" style="6" bestFit="1" customWidth="1"/>
    <col min="16" max="16384" width="9.21875" style="6"/>
  </cols>
  <sheetData>
    <row r="1" spans="1:12" ht="15" customHeight="1" x14ac:dyDescent="0.3">
      <c r="A1" s="104" t="str">
        <f>ACTIVA!A1</f>
        <v>VDO</v>
      </c>
    </row>
    <row r="2" spans="1:12" ht="15" customHeight="1" x14ac:dyDescent="0.3">
      <c r="A2" s="103" t="str">
        <f>ACTIVA!A2</f>
        <v>BALANS NA WINSTVERDELING</v>
      </c>
      <c r="B2" s="6"/>
      <c r="C2" s="6"/>
      <c r="D2" s="6"/>
      <c r="E2" s="6"/>
      <c r="F2" s="6"/>
      <c r="G2" s="6"/>
      <c r="I2" s="6"/>
      <c r="J2" s="6"/>
    </row>
    <row r="3" spans="1:12" ht="9" customHeight="1" x14ac:dyDescent="0.3">
      <c r="A3" s="21"/>
      <c r="B3" s="6"/>
      <c r="C3" s="6"/>
      <c r="D3" s="6"/>
      <c r="E3" s="6"/>
      <c r="F3" s="6"/>
      <c r="G3" s="6"/>
      <c r="I3" s="6"/>
      <c r="J3" s="6"/>
    </row>
    <row r="4" spans="1:12" s="16" customFormat="1" ht="15" customHeight="1" x14ac:dyDescent="0.3">
      <c r="A4" s="23" t="s">
        <v>15</v>
      </c>
      <c r="B4" s="87" t="str">
        <f>ACTIVA!B4</f>
        <v>Jaar 1</v>
      </c>
      <c r="C4" s="91"/>
      <c r="D4" s="87" t="str">
        <f>ACTIVA!D4</f>
        <v>Jaar 2</v>
      </c>
      <c r="E4" s="91"/>
      <c r="F4" s="105" t="str">
        <f>ACTIVA!F4</f>
        <v>Jaar 3</v>
      </c>
      <c r="G4" s="91"/>
      <c r="I4" s="322" t="s">
        <v>140</v>
      </c>
      <c r="J4" s="323"/>
      <c r="K4" s="322" t="s">
        <v>178</v>
      </c>
      <c r="L4" s="323"/>
    </row>
    <row r="5" spans="1:12" ht="13.2" customHeight="1" x14ac:dyDescent="0.3">
      <c r="A5" s="22"/>
      <c r="B5" s="92"/>
      <c r="C5" s="92" t="s">
        <v>139</v>
      </c>
      <c r="D5" s="92"/>
      <c r="E5" s="92" t="s">
        <v>139</v>
      </c>
      <c r="F5" s="92"/>
      <c r="G5" s="15" t="s">
        <v>139</v>
      </c>
      <c r="I5" s="94" t="s">
        <v>141</v>
      </c>
      <c r="J5" s="85" t="s">
        <v>142</v>
      </c>
      <c r="K5" s="94" t="s">
        <v>141</v>
      </c>
      <c r="L5" s="85" t="s">
        <v>142</v>
      </c>
    </row>
    <row r="6" spans="1:12" ht="15.75" customHeight="1" x14ac:dyDescent="0.3">
      <c r="A6" s="126" t="s">
        <v>16</v>
      </c>
      <c r="B6" s="127">
        <f>B8+B14+B19+B12+B21</f>
        <v>136949.77394183481</v>
      </c>
      <c r="C6" s="127">
        <f>B6/B58*100</f>
        <v>28.902741018361013</v>
      </c>
      <c r="D6" s="127">
        <f>D8+D14+D19+D12+D21</f>
        <v>180601.35488234981</v>
      </c>
      <c r="E6" s="127">
        <f>D6/D58*100</f>
        <v>36.306888838992514</v>
      </c>
      <c r="F6" s="127">
        <f>F8+F14+F19+F12+F21</f>
        <v>232233.16035250353</v>
      </c>
      <c r="G6" s="11">
        <f>F6/F58*100</f>
        <v>43.669569939681502</v>
      </c>
      <c r="I6" s="11">
        <f>(D6-B6)/B6*100</f>
        <v>31.874153336722316</v>
      </c>
      <c r="J6" s="11">
        <f>(F6-D6)/D6*100</f>
        <v>28.588825097014652</v>
      </c>
      <c r="K6" s="11">
        <f>D6-B6</f>
        <v>43651.580940515007</v>
      </c>
      <c r="L6" s="11">
        <f>F6-D6</f>
        <v>51631.805470153718</v>
      </c>
    </row>
    <row r="7" spans="1:12" ht="6.75" customHeight="1" x14ac:dyDescent="0.3">
      <c r="B7" s="9"/>
      <c r="C7" s="9"/>
      <c r="D7" s="9"/>
      <c r="E7" s="9"/>
      <c r="F7" s="9"/>
      <c r="G7" s="9"/>
      <c r="I7" s="8"/>
      <c r="J7" s="8"/>
      <c r="K7" s="8"/>
      <c r="L7" s="8"/>
    </row>
    <row r="8" spans="1:12" ht="15" customHeight="1" x14ac:dyDescent="0.3">
      <c r="A8" s="25" t="s">
        <v>147</v>
      </c>
      <c r="B8" s="92">
        <f>SUM(B9:B10)</f>
        <v>90000</v>
      </c>
      <c r="C8" s="92">
        <f>B8/B$58*100</f>
        <v>18.994165647599321</v>
      </c>
      <c r="D8" s="92">
        <f>SUM(D9:D10)</f>
        <v>90000</v>
      </c>
      <c r="E8" s="92">
        <f>D8/D$58*100</f>
        <v>18.092998237128235</v>
      </c>
      <c r="F8" s="92">
        <f>SUM(F9:F10)</f>
        <v>90000</v>
      </c>
      <c r="G8" s="92">
        <f>F8/F$58*100</f>
        <v>16.923773024514009</v>
      </c>
      <c r="I8" s="92">
        <f t="shared" ref="I8:I58" si="0">(D8-B8)/B8*100</f>
        <v>0</v>
      </c>
      <c r="J8" s="92">
        <f t="shared" ref="J8:J58" si="1">(F8-D8)/D8*100</f>
        <v>0</v>
      </c>
      <c r="K8" s="92">
        <f>D8-B8</f>
        <v>0</v>
      </c>
      <c r="L8" s="92">
        <f>F8-D8</f>
        <v>0</v>
      </c>
    </row>
    <row r="9" spans="1:12" ht="15" customHeight="1" x14ac:dyDescent="0.3">
      <c r="A9" s="6" t="s">
        <v>239</v>
      </c>
      <c r="B9" s="9">
        <f>OPGAVE!B3</f>
        <v>90000</v>
      </c>
      <c r="C9" s="9">
        <f>B9/B$58*100</f>
        <v>18.994165647599321</v>
      </c>
      <c r="D9" s="9">
        <f>B9</f>
        <v>90000</v>
      </c>
      <c r="E9" s="9">
        <f>D9/D$58*100</f>
        <v>18.092998237128235</v>
      </c>
      <c r="F9" s="9">
        <f>D9</f>
        <v>90000</v>
      </c>
      <c r="G9" s="9">
        <f t="shared" ref="G9" si="2">F9/F$58*100</f>
        <v>16.923773024514009</v>
      </c>
      <c r="I9" s="9">
        <f t="shared" si="0"/>
        <v>0</v>
      </c>
      <c r="J9" s="9">
        <f t="shared" si="1"/>
        <v>0</v>
      </c>
      <c r="K9" s="9">
        <f t="shared" ref="K9:K19" si="3">D9-B9</f>
        <v>0</v>
      </c>
      <c r="L9" s="9">
        <f t="shared" ref="L9:L19" si="4">F9-D9</f>
        <v>0</v>
      </c>
    </row>
    <row r="10" spans="1:12" ht="15" customHeight="1" x14ac:dyDescent="0.3">
      <c r="A10" s="6" t="s">
        <v>240</v>
      </c>
      <c r="B10" s="9"/>
      <c r="C10" s="9">
        <f>B10/B$58*100</f>
        <v>0</v>
      </c>
      <c r="D10" s="9">
        <f>B31+B10</f>
        <v>0</v>
      </c>
      <c r="E10" s="9">
        <f>D10/D$58*100</f>
        <v>0</v>
      </c>
      <c r="F10" s="9">
        <f>D10</f>
        <v>0</v>
      </c>
      <c r="G10" s="9">
        <f t="shared" ref="G10" si="5">F10/F$58*100</f>
        <v>0</v>
      </c>
      <c r="I10" s="9" t="e">
        <f t="shared" si="0"/>
        <v>#DIV/0!</v>
      </c>
      <c r="J10" s="9" t="e">
        <f t="shared" si="1"/>
        <v>#DIV/0!</v>
      </c>
      <c r="K10" s="9">
        <f t="shared" si="3"/>
        <v>0</v>
      </c>
      <c r="L10" s="9">
        <f t="shared" si="4"/>
        <v>0</v>
      </c>
    </row>
    <row r="11" spans="1:12" ht="6" customHeight="1" x14ac:dyDescent="0.3">
      <c r="B11" s="9"/>
      <c r="C11" s="92"/>
      <c r="D11" s="9"/>
      <c r="E11" s="92"/>
      <c r="F11" s="9"/>
      <c r="G11" s="92"/>
      <c r="I11" s="9"/>
      <c r="J11" s="9"/>
      <c r="K11" s="92"/>
      <c r="L11" s="92"/>
    </row>
    <row r="12" spans="1:12" ht="15" customHeight="1" x14ac:dyDescent="0.3">
      <c r="A12" s="25" t="s">
        <v>124</v>
      </c>
      <c r="B12" s="92"/>
      <c r="C12" s="92">
        <f>B12/B$58*100</f>
        <v>0</v>
      </c>
      <c r="D12" s="92"/>
      <c r="E12" s="92">
        <f>D12/D$58*100</f>
        <v>0</v>
      </c>
      <c r="F12" s="92"/>
      <c r="G12" s="92">
        <f t="shared" ref="G12" si="6">F12/F$58*100</f>
        <v>0</v>
      </c>
      <c r="H12" s="35"/>
      <c r="I12" s="92" t="e">
        <f t="shared" si="0"/>
        <v>#DIV/0!</v>
      </c>
      <c r="J12" s="92" t="e">
        <f t="shared" si="1"/>
        <v>#DIV/0!</v>
      </c>
      <c r="K12" s="92">
        <f t="shared" si="3"/>
        <v>0</v>
      </c>
      <c r="L12" s="92">
        <f t="shared" si="4"/>
        <v>0</v>
      </c>
    </row>
    <row r="13" spans="1:12" ht="6" customHeight="1" x14ac:dyDescent="0.3">
      <c r="B13" s="9"/>
      <c r="C13" s="92"/>
      <c r="D13" s="9"/>
      <c r="E13" s="92"/>
      <c r="F13" s="9"/>
      <c r="G13" s="92"/>
      <c r="I13" s="9"/>
      <c r="J13" s="9"/>
      <c r="K13" s="92"/>
      <c r="L13" s="92"/>
    </row>
    <row r="14" spans="1:12" ht="15" customHeight="1" x14ac:dyDescent="0.3">
      <c r="A14" s="25" t="s">
        <v>17</v>
      </c>
      <c r="B14" s="92">
        <f>SUM(B15:B17)</f>
        <v>0</v>
      </c>
      <c r="C14" s="92">
        <f>B14/B$58*100</f>
        <v>0</v>
      </c>
      <c r="D14" s="92">
        <f t="shared" ref="D14:F14" si="7">SUM(D15:D17)</f>
        <v>0</v>
      </c>
      <c r="E14" s="92">
        <f>D14/D$58*100</f>
        <v>0</v>
      </c>
      <c r="F14" s="92">
        <f t="shared" si="7"/>
        <v>0</v>
      </c>
      <c r="G14" s="92">
        <f t="shared" ref="G14" si="8">F14/F$58*100</f>
        <v>0</v>
      </c>
      <c r="I14" s="92" t="e">
        <f t="shared" si="0"/>
        <v>#DIV/0!</v>
      </c>
      <c r="J14" s="92" t="e">
        <f t="shared" si="1"/>
        <v>#DIV/0!</v>
      </c>
      <c r="K14" s="92">
        <f t="shared" si="3"/>
        <v>0</v>
      </c>
      <c r="L14" s="92">
        <f t="shared" si="4"/>
        <v>0</v>
      </c>
    </row>
    <row r="15" spans="1:12" ht="15" customHeight="1" x14ac:dyDescent="0.3">
      <c r="A15" s="6" t="s">
        <v>241</v>
      </c>
      <c r="B15" s="9"/>
      <c r="C15" s="9">
        <f>B15/B$58*100</f>
        <v>0</v>
      </c>
      <c r="D15" s="9"/>
      <c r="E15" s="9">
        <f>D15/D$58*100</f>
        <v>0</v>
      </c>
      <c r="F15" s="9"/>
      <c r="G15" s="9">
        <f t="shared" ref="G15" si="9">F15/F$58*100</f>
        <v>0</v>
      </c>
      <c r="I15" s="9" t="e">
        <f t="shared" si="0"/>
        <v>#DIV/0!</v>
      </c>
      <c r="J15" s="9" t="e">
        <f t="shared" si="1"/>
        <v>#DIV/0!</v>
      </c>
      <c r="K15" s="9">
        <f t="shared" si="3"/>
        <v>0</v>
      </c>
      <c r="L15" s="9">
        <f t="shared" si="4"/>
        <v>0</v>
      </c>
    </row>
    <row r="16" spans="1:12" ht="15" customHeight="1" x14ac:dyDescent="0.3">
      <c r="A16" s="6" t="s">
        <v>117</v>
      </c>
      <c r="B16" s="9"/>
      <c r="C16" s="9">
        <f>B16/B$58*100</f>
        <v>0</v>
      </c>
      <c r="D16" s="9"/>
      <c r="E16" s="9">
        <f>D16/D$58*100</f>
        <v>0</v>
      </c>
      <c r="F16" s="9">
        <f>RESULTAAT!D57</f>
        <v>0</v>
      </c>
      <c r="G16" s="9">
        <f t="shared" ref="G16" si="10">F16/F$58*100</f>
        <v>0</v>
      </c>
      <c r="I16" s="9" t="e">
        <f t="shared" si="0"/>
        <v>#DIV/0!</v>
      </c>
      <c r="J16" s="9" t="e">
        <f t="shared" si="1"/>
        <v>#DIV/0!</v>
      </c>
      <c r="K16" s="9">
        <f t="shared" si="3"/>
        <v>0</v>
      </c>
      <c r="L16" s="9">
        <f t="shared" si="4"/>
        <v>0</v>
      </c>
    </row>
    <row r="17" spans="1:15" ht="15" customHeight="1" x14ac:dyDescent="0.3">
      <c r="A17" s="6" t="s">
        <v>118</v>
      </c>
      <c r="B17" s="9"/>
      <c r="C17" s="9">
        <f>B17/B$58*100</f>
        <v>0</v>
      </c>
      <c r="D17" s="9"/>
      <c r="E17" s="9">
        <f>D17/D$58*100</f>
        <v>0</v>
      </c>
      <c r="F17" s="9"/>
      <c r="G17" s="9">
        <f t="shared" ref="G17" si="11">F17/F$58*100</f>
        <v>0</v>
      </c>
      <c r="I17" s="9" t="e">
        <f t="shared" si="0"/>
        <v>#DIV/0!</v>
      </c>
      <c r="J17" s="9" t="e">
        <f t="shared" si="1"/>
        <v>#DIV/0!</v>
      </c>
      <c r="K17" s="9">
        <f t="shared" si="3"/>
        <v>0</v>
      </c>
      <c r="L17" s="9">
        <f t="shared" si="4"/>
        <v>0</v>
      </c>
    </row>
    <row r="18" spans="1:15" ht="5.25" customHeight="1" x14ac:dyDescent="0.3">
      <c r="B18" s="92"/>
      <c r="C18" s="92"/>
      <c r="D18" s="9"/>
      <c r="E18" s="92"/>
      <c r="F18" s="9"/>
      <c r="G18" s="92"/>
      <c r="I18" s="9"/>
      <c r="J18" s="9"/>
      <c r="K18" s="92"/>
      <c r="L18" s="92"/>
    </row>
    <row r="19" spans="1:15" ht="15" customHeight="1" x14ac:dyDescent="0.3">
      <c r="A19" s="25" t="s">
        <v>18</v>
      </c>
      <c r="B19" s="92">
        <f>RESULTAAT!B54</f>
        <v>46949.773941834806</v>
      </c>
      <c r="C19" s="92">
        <f>B19/B$58*100</f>
        <v>9.9085753707616941</v>
      </c>
      <c r="D19" s="92">
        <f>RESULTAAT!C75</f>
        <v>90601.354882349813</v>
      </c>
      <c r="E19" s="92">
        <f>D19/D$58*100</f>
        <v>18.213890601864275</v>
      </c>
      <c r="F19" s="92">
        <f>RESULTAAT!D75</f>
        <v>142233.16035250353</v>
      </c>
      <c r="G19" s="92">
        <f t="shared" ref="G19" si="12">F19/F$58*100</f>
        <v>26.745796915167492</v>
      </c>
      <c r="I19" s="92">
        <f t="shared" si="0"/>
        <v>92.97506095470051</v>
      </c>
      <c r="J19" s="92">
        <f t="shared" si="1"/>
        <v>56.987895531143081</v>
      </c>
      <c r="K19" s="316">
        <f t="shared" si="3"/>
        <v>43651.580940515007</v>
      </c>
      <c r="L19" s="316">
        <f t="shared" si="4"/>
        <v>51631.805470153718</v>
      </c>
    </row>
    <row r="20" spans="1:15" ht="7.5" customHeight="1" x14ac:dyDescent="0.3">
      <c r="A20" s="25"/>
      <c r="B20" s="92"/>
      <c r="C20" s="92"/>
      <c r="D20" s="92"/>
      <c r="E20" s="92"/>
      <c r="F20" s="92"/>
      <c r="G20" s="92"/>
      <c r="I20" s="92"/>
      <c r="J20" s="92"/>
      <c r="K20" s="92"/>
      <c r="L20" s="92"/>
    </row>
    <row r="21" spans="1:15" ht="15" customHeight="1" x14ac:dyDescent="0.3">
      <c r="A21" s="25" t="s">
        <v>242</v>
      </c>
      <c r="B21" s="92"/>
      <c r="C21" s="92">
        <f>B21/B$58*100</f>
        <v>0</v>
      </c>
      <c r="D21" s="92"/>
      <c r="E21" s="92">
        <f>D21/D$58*100</f>
        <v>0</v>
      </c>
      <c r="F21" s="92"/>
      <c r="G21" s="92">
        <f>F21/F$58*100</f>
        <v>0</v>
      </c>
      <c r="I21" s="92" t="e">
        <f t="shared" ref="I21" si="13">(D21-B21)/B21*100</f>
        <v>#DIV/0!</v>
      </c>
      <c r="J21" s="92" t="e">
        <f t="shared" ref="J21" si="14">(F21-D21)/D21*100</f>
        <v>#DIV/0!</v>
      </c>
      <c r="K21" s="92">
        <f t="shared" ref="K21" si="15">D21-B21</f>
        <v>0</v>
      </c>
      <c r="L21" s="92">
        <f t="shared" ref="L21" si="16">F21-D21</f>
        <v>0</v>
      </c>
    </row>
    <row r="22" spans="1:15" ht="8.25" customHeight="1" x14ac:dyDescent="0.3">
      <c r="A22" s="25"/>
      <c r="B22" s="92"/>
      <c r="C22" s="92"/>
      <c r="D22" s="92"/>
      <c r="E22" s="92"/>
      <c r="F22" s="92"/>
      <c r="G22" s="92"/>
      <c r="I22" s="92"/>
      <c r="J22" s="92"/>
      <c r="K22" s="92"/>
      <c r="L22" s="92"/>
    </row>
    <row r="23" spans="1:15" s="10" customFormat="1" ht="15" customHeight="1" x14ac:dyDescent="0.3">
      <c r="A23" s="127" t="s">
        <v>245</v>
      </c>
      <c r="B23" s="127">
        <f>SUM(B25:B26)</f>
        <v>0</v>
      </c>
      <c r="C23" s="127">
        <f>B23/B$58*100</f>
        <v>0</v>
      </c>
      <c r="D23" s="127">
        <f t="shared" ref="D23:F23" si="17">SUM(D25:D26)</f>
        <v>0</v>
      </c>
      <c r="E23" s="127">
        <f>D23/D$58*100</f>
        <v>0</v>
      </c>
      <c r="F23" s="127">
        <f t="shared" si="17"/>
        <v>0</v>
      </c>
      <c r="G23" s="11">
        <f t="shared" ref="G23" si="18">F23/F$58*100</f>
        <v>0</v>
      </c>
      <c r="I23" s="11" t="e">
        <f t="shared" si="0"/>
        <v>#DIV/0!</v>
      </c>
      <c r="J23" s="11" t="e">
        <f t="shared" si="1"/>
        <v>#DIV/0!</v>
      </c>
      <c r="K23" s="11">
        <f>D23-B23</f>
        <v>0</v>
      </c>
      <c r="L23" s="11">
        <f>F23-D23</f>
        <v>0</v>
      </c>
      <c r="N23" s="6"/>
      <c r="O23" s="6"/>
    </row>
    <row r="24" spans="1:15" s="10" customFormat="1" ht="6.75" customHeight="1" x14ac:dyDescent="0.3">
      <c r="B24" s="106"/>
      <c r="C24" s="92"/>
      <c r="D24" s="106"/>
      <c r="E24" s="92"/>
      <c r="F24" s="106"/>
      <c r="G24" s="92"/>
      <c r="I24" s="92"/>
      <c r="J24" s="92"/>
      <c r="K24" s="92"/>
      <c r="L24" s="92"/>
      <c r="N24" s="6"/>
      <c r="O24" s="6"/>
    </row>
    <row r="25" spans="1:15" ht="15" customHeight="1" x14ac:dyDescent="0.3">
      <c r="A25" s="6" t="s">
        <v>119</v>
      </c>
      <c r="B25" s="92"/>
      <c r="C25" s="92">
        <f>B25/B$58*100</f>
        <v>0</v>
      </c>
      <c r="D25" s="92"/>
      <c r="E25" s="92">
        <f>D25/D$58*100</f>
        <v>0</v>
      </c>
      <c r="F25" s="92"/>
      <c r="G25" s="92">
        <f t="shared" ref="G25" si="19">F25/F$58*100</f>
        <v>0</v>
      </c>
      <c r="I25" s="92" t="e">
        <f t="shared" si="0"/>
        <v>#DIV/0!</v>
      </c>
      <c r="J25" s="92" t="e">
        <f t="shared" si="1"/>
        <v>#DIV/0!</v>
      </c>
      <c r="K25" s="92">
        <f>D25-B25</f>
        <v>0</v>
      </c>
      <c r="L25" s="92">
        <f>F25-D25</f>
        <v>0</v>
      </c>
    </row>
    <row r="26" spans="1:15" ht="15" customHeight="1" x14ac:dyDescent="0.3">
      <c r="A26" s="6" t="s">
        <v>120</v>
      </c>
      <c r="B26" s="92"/>
      <c r="C26" s="92">
        <f>B26/B$58*100</f>
        <v>0</v>
      </c>
      <c r="D26" s="92"/>
      <c r="E26" s="92">
        <f>D26/D$58*100</f>
        <v>0</v>
      </c>
      <c r="F26" s="92">
        <f>RESULTAAT!D51</f>
        <v>0</v>
      </c>
      <c r="G26" s="92">
        <f t="shared" ref="G26" si="20">F26/F$58*100</f>
        <v>0</v>
      </c>
      <c r="I26" s="92" t="e">
        <f t="shared" si="0"/>
        <v>#DIV/0!</v>
      </c>
      <c r="J26" s="92" t="e">
        <f t="shared" si="1"/>
        <v>#DIV/0!</v>
      </c>
      <c r="K26" s="92">
        <f>D26-B26</f>
        <v>0</v>
      </c>
      <c r="L26" s="92">
        <f>F26-D26</f>
        <v>0</v>
      </c>
    </row>
    <row r="27" spans="1:15" ht="9" customHeight="1" x14ac:dyDescent="0.3">
      <c r="B27" s="9"/>
      <c r="C27" s="92"/>
      <c r="D27" s="9"/>
      <c r="E27" s="92"/>
      <c r="F27" s="9"/>
      <c r="G27" s="92"/>
      <c r="I27" s="92"/>
      <c r="J27" s="92"/>
      <c r="K27" s="92"/>
      <c r="L27" s="92"/>
    </row>
    <row r="28" spans="1:15" ht="15" customHeight="1" x14ac:dyDescent="0.3">
      <c r="A28" s="127" t="s">
        <v>19</v>
      </c>
      <c r="B28" s="127">
        <f>B30</f>
        <v>228120.77007192845</v>
      </c>
      <c r="C28" s="127">
        <f>B28/B$58*100</f>
        <v>48.144041048934739</v>
      </c>
      <c r="D28" s="127">
        <f>D30</f>
        <v>204628.05698991212</v>
      </c>
      <c r="E28" s="127">
        <f>D28/D$58*100</f>
        <v>41.137056382060621</v>
      </c>
      <c r="F28" s="127">
        <f>F30</f>
        <v>179933.41212022881</v>
      </c>
      <c r="G28" s="11">
        <f t="shared" ref="G28" si="21">F28/F$58*100</f>
        <v>33.835024736100998</v>
      </c>
      <c r="I28" s="11">
        <f t="shared" si="0"/>
        <v>-10.298366551458193</v>
      </c>
      <c r="J28" s="11">
        <f t="shared" si="1"/>
        <v>-12.068063995203122</v>
      </c>
      <c r="K28" s="11">
        <f>D28-B28</f>
        <v>-23492.713082016329</v>
      </c>
      <c r="L28" s="11">
        <f>F28-D28</f>
        <v>-24694.64486968331</v>
      </c>
    </row>
    <row r="29" spans="1:15" ht="7.5" customHeight="1" x14ac:dyDescent="0.3">
      <c r="A29" s="24"/>
      <c r="B29" s="107"/>
      <c r="C29" s="92"/>
      <c r="D29" s="107"/>
      <c r="E29" s="92"/>
      <c r="F29" s="107"/>
      <c r="G29" s="92"/>
      <c r="I29" s="9"/>
      <c r="J29" s="9"/>
      <c r="K29" s="9"/>
      <c r="L29" s="9"/>
    </row>
    <row r="30" spans="1:15" ht="15" customHeight="1" x14ac:dyDescent="0.3">
      <c r="A30" s="25" t="s">
        <v>92</v>
      </c>
      <c r="B30" s="92">
        <f>SUM(B31:B33)</f>
        <v>228120.77007192845</v>
      </c>
      <c r="C30" s="92">
        <f>B30/B$58*100</f>
        <v>48.144041048934739</v>
      </c>
      <c r="D30" s="92">
        <f>SUM(D31:D33)</f>
        <v>204628.05698991212</v>
      </c>
      <c r="E30" s="92">
        <f>D30/D$58*100</f>
        <v>41.137056382060621</v>
      </c>
      <c r="F30" s="92">
        <f>SUM(F31:F33)</f>
        <v>179933.41212022881</v>
      </c>
      <c r="G30" s="92">
        <f t="shared" ref="G30" si="22">F30/F$58*100</f>
        <v>33.835024736100998</v>
      </c>
      <c r="I30" s="92">
        <f t="shared" si="0"/>
        <v>-10.298366551458193</v>
      </c>
      <c r="J30" s="92">
        <f t="shared" si="1"/>
        <v>-12.068063995203122</v>
      </c>
      <c r="K30" s="317">
        <f>D30-B30</f>
        <v>-23492.713082016329</v>
      </c>
      <c r="L30" s="317">
        <f>F30-D30</f>
        <v>-24694.64486968331</v>
      </c>
    </row>
    <row r="31" spans="1:15" ht="15" customHeight="1" x14ac:dyDescent="0.3">
      <c r="A31" s="6" t="s">
        <v>20</v>
      </c>
      <c r="B31" s="9"/>
      <c r="C31" s="9">
        <f>B31/B$58*100</f>
        <v>0</v>
      </c>
      <c r="D31" s="9"/>
      <c r="E31" s="9">
        <f>D31/D$58*100</f>
        <v>0</v>
      </c>
      <c r="F31" s="9"/>
      <c r="G31" s="9">
        <f t="shared" ref="G31" si="23">F31/F$58*100</f>
        <v>0</v>
      </c>
      <c r="I31" s="9" t="e">
        <f t="shared" si="0"/>
        <v>#DIV/0!</v>
      </c>
      <c r="J31" s="9" t="e">
        <f t="shared" si="1"/>
        <v>#DIV/0!</v>
      </c>
      <c r="K31" s="9">
        <f t="shared" ref="K31:K33" si="24">D31-B31</f>
        <v>0</v>
      </c>
      <c r="L31" s="9">
        <f t="shared" ref="L31:L33" si="25">F31-D31</f>
        <v>0</v>
      </c>
    </row>
    <row r="32" spans="1:15" ht="15" customHeight="1" x14ac:dyDescent="0.3">
      <c r="A32" s="6" t="s">
        <v>436</v>
      </c>
      <c r="B32" s="9">
        <f>Aflossingstabel!J25</f>
        <v>228120.77007192845</v>
      </c>
      <c r="C32" s="9">
        <f>B32/B$58*100</f>
        <v>48.144041048934739</v>
      </c>
      <c r="D32" s="9">
        <f>B32-D38</f>
        <v>204628.05698991212</v>
      </c>
      <c r="E32" s="9">
        <f>D32/D$58*100</f>
        <v>41.137056382060621</v>
      </c>
      <c r="F32" s="9">
        <f>D32-F38</f>
        <v>179933.41212022881</v>
      </c>
      <c r="G32" s="9">
        <f t="shared" ref="G32" si="26">F32/F$58*100</f>
        <v>33.835024736100998</v>
      </c>
      <c r="I32" s="9">
        <f t="shared" si="0"/>
        <v>-10.298366551458193</v>
      </c>
      <c r="J32" s="9">
        <f t="shared" si="1"/>
        <v>-12.068063995203122</v>
      </c>
      <c r="K32" s="9">
        <f t="shared" si="24"/>
        <v>-23492.713082016329</v>
      </c>
      <c r="L32" s="9">
        <f t="shared" si="25"/>
        <v>-24694.64486968331</v>
      </c>
    </row>
    <row r="33" spans="1:12" ht="15" customHeight="1" x14ac:dyDescent="0.3">
      <c r="A33" s="6" t="s">
        <v>25</v>
      </c>
      <c r="B33" s="9"/>
      <c r="C33" s="9">
        <f>B33/B$58*100</f>
        <v>0</v>
      </c>
      <c r="D33" s="9"/>
      <c r="E33" s="9">
        <f>D33/D$58*100</f>
        <v>0</v>
      </c>
      <c r="F33" s="9"/>
      <c r="G33" s="9">
        <f t="shared" ref="G33" si="27">F33/F$58*100</f>
        <v>0</v>
      </c>
      <c r="I33" s="9" t="e">
        <f t="shared" si="0"/>
        <v>#DIV/0!</v>
      </c>
      <c r="J33" s="9" t="e">
        <f t="shared" si="1"/>
        <v>#DIV/0!</v>
      </c>
      <c r="K33" s="9">
        <f t="shared" si="24"/>
        <v>0</v>
      </c>
      <c r="L33" s="9">
        <f t="shared" si="25"/>
        <v>0</v>
      </c>
    </row>
    <row r="34" spans="1:12" ht="9" customHeight="1" x14ac:dyDescent="0.3">
      <c r="B34" s="9"/>
      <c r="C34" s="92"/>
      <c r="D34" s="9"/>
      <c r="E34" s="92"/>
      <c r="F34" s="9"/>
      <c r="G34" s="92"/>
      <c r="I34" s="9"/>
      <c r="J34" s="9"/>
      <c r="K34" s="9"/>
      <c r="L34" s="9"/>
    </row>
    <row r="35" spans="1:12" ht="15" customHeight="1" x14ac:dyDescent="0.3">
      <c r="A35" s="127" t="s">
        <v>21</v>
      </c>
      <c r="B35" s="127">
        <f>B37+B45+B48+B53+B56+B41</f>
        <v>108759.16596023149</v>
      </c>
      <c r="C35" s="127">
        <f>B35/B$58*100</f>
        <v>22.953217932704248</v>
      </c>
      <c r="D35" s="127">
        <f>D37+D45+D48+D53+D56+D41</f>
        <v>112200.58187699417</v>
      </c>
      <c r="E35" s="127">
        <f>D35/D$58*100</f>
        <v>22.556054778946862</v>
      </c>
      <c r="F35" s="127">
        <f>F37+F45+F48+F53+F56+F41</f>
        <v>119629.73482609174</v>
      </c>
      <c r="G35" s="11">
        <f t="shared" ref="G35" si="28">F35/F$58*100</f>
        <v>22.495405324217501</v>
      </c>
      <c r="I35" s="31">
        <f t="shared" si="0"/>
        <v>3.1642536850834762</v>
      </c>
      <c r="J35" s="31">
        <f t="shared" si="1"/>
        <v>6.6213141008860079</v>
      </c>
      <c r="K35" s="31">
        <f>D35-B35</f>
        <v>3441.4159167626785</v>
      </c>
      <c r="L35" s="31">
        <f>F35-D35</f>
        <v>7429.1529490975663</v>
      </c>
    </row>
    <row r="36" spans="1:12" ht="9.75" customHeight="1" x14ac:dyDescent="0.3">
      <c r="A36" s="24"/>
      <c r="B36" s="107"/>
      <c r="C36" s="92"/>
      <c r="D36" s="107"/>
      <c r="E36" s="92"/>
      <c r="F36" s="107"/>
      <c r="G36" s="92"/>
      <c r="I36" s="9"/>
      <c r="J36" s="9"/>
      <c r="K36" s="9"/>
      <c r="L36" s="9"/>
    </row>
    <row r="37" spans="1:12" ht="15" customHeight="1" x14ac:dyDescent="0.3">
      <c r="A37" s="25" t="s">
        <v>243</v>
      </c>
      <c r="B37" s="92">
        <f>SUM(B38:B39)</f>
        <v>22349.281427873371</v>
      </c>
      <c r="C37" s="92">
        <f>B37/B$58*100</f>
        <v>4.7167328171760206</v>
      </c>
      <c r="D37" s="92">
        <f>SUM(D38:D39)</f>
        <v>23492.713082016344</v>
      </c>
      <c r="E37" s="92">
        <f>D37/D$58*100</f>
        <v>4.7228179597586797</v>
      </c>
      <c r="F37" s="92">
        <f>SUM(F38:F39)</f>
        <v>24694.644869683325</v>
      </c>
      <c r="G37" s="92">
        <f t="shared" ref="G37" si="29">F37/F$58*100</f>
        <v>4.6436284966166648</v>
      </c>
      <c r="I37" s="92">
        <f t="shared" si="0"/>
        <v>5.1161897881733145</v>
      </c>
      <c r="J37" s="92">
        <f t="shared" si="1"/>
        <v>5.116189788173334</v>
      </c>
      <c r="K37" s="92">
        <f>D37-B37</f>
        <v>1143.4316541429725</v>
      </c>
      <c r="L37" s="92">
        <f>F37-D37</f>
        <v>1201.9317876669811</v>
      </c>
    </row>
    <row r="38" spans="1:12" ht="15" customHeight="1" x14ac:dyDescent="0.3">
      <c r="A38" s="6" t="str">
        <f>A32</f>
        <v>Lening Machines</v>
      </c>
      <c r="B38" s="9">
        <f>Aflossingstabel!K25</f>
        <v>22349.281427873371</v>
      </c>
      <c r="C38" s="9">
        <f>B38/B$58*100</f>
        <v>4.7167328171760206</v>
      </c>
      <c r="D38" s="9">
        <f>Aflossingstabel!K26</f>
        <v>23492.713082016344</v>
      </c>
      <c r="E38" s="9">
        <f>D38/D$58*100</f>
        <v>4.7228179597586797</v>
      </c>
      <c r="F38" s="9">
        <f>Aflossingstabel!K27</f>
        <v>24694.644869683325</v>
      </c>
      <c r="G38" s="9">
        <f t="shared" ref="G38" si="30">F38/F$58*100</f>
        <v>4.6436284966166648</v>
      </c>
      <c r="I38" s="9">
        <f t="shared" si="0"/>
        <v>5.1161897881733145</v>
      </c>
      <c r="J38" s="9">
        <f t="shared" si="1"/>
        <v>5.116189788173334</v>
      </c>
      <c r="K38" s="9">
        <f t="shared" ref="K38:K56" si="31">D38-B38</f>
        <v>1143.4316541429725</v>
      </c>
      <c r="L38" s="9">
        <f t="shared" ref="L38:L56" si="32">F38-D38</f>
        <v>1201.9317876669811</v>
      </c>
    </row>
    <row r="39" spans="1:12" ht="15" customHeight="1" x14ac:dyDescent="0.3">
      <c r="A39" s="6" t="str">
        <f>A33</f>
        <v>Overige</v>
      </c>
      <c r="B39" s="9"/>
      <c r="C39" s="9">
        <f>B39/B$58*100</f>
        <v>0</v>
      </c>
      <c r="D39" s="9"/>
      <c r="E39" s="9">
        <f>D39/D$58*100</f>
        <v>0</v>
      </c>
      <c r="F39" s="9"/>
      <c r="G39" s="9">
        <f t="shared" ref="G39" si="33">F39/F$58*100</f>
        <v>0</v>
      </c>
      <c r="I39" s="9" t="e">
        <f t="shared" si="0"/>
        <v>#DIV/0!</v>
      </c>
      <c r="J39" s="9" t="e">
        <f t="shared" si="1"/>
        <v>#DIV/0!</v>
      </c>
      <c r="K39" s="9">
        <f t="shared" si="31"/>
        <v>0</v>
      </c>
      <c r="L39" s="9">
        <f t="shared" si="32"/>
        <v>0</v>
      </c>
    </row>
    <row r="40" spans="1:12" ht="6.75" customHeight="1" x14ac:dyDescent="0.3">
      <c r="B40" s="9"/>
      <c r="C40" s="9"/>
      <c r="D40" s="9"/>
      <c r="E40" s="9"/>
      <c r="F40" s="9"/>
      <c r="G40" s="9"/>
      <c r="I40" s="9"/>
      <c r="J40" s="9"/>
      <c r="K40" s="9"/>
      <c r="L40" s="9"/>
    </row>
    <row r="41" spans="1:12" ht="15" customHeight="1" x14ac:dyDescent="0.3">
      <c r="A41" s="25" t="str">
        <f>A30</f>
        <v>Financiële Schulden</v>
      </c>
      <c r="B41" s="92">
        <f>B42+B43</f>
        <v>0</v>
      </c>
      <c r="C41" s="9">
        <f>B41/B$58*100</f>
        <v>0</v>
      </c>
      <c r="D41" s="92">
        <f>D42+D43</f>
        <v>0</v>
      </c>
      <c r="E41" s="9">
        <f>D41/D$58*100</f>
        <v>0</v>
      </c>
      <c r="F41" s="92">
        <f>F42+F43</f>
        <v>0</v>
      </c>
      <c r="G41" s="9">
        <f t="shared" ref="G41:G43" si="34">F41/F$58*100</f>
        <v>0</v>
      </c>
      <c r="I41" s="9" t="e">
        <f t="shared" ref="I41" si="35">(D41-B41)/B41*100</f>
        <v>#DIV/0!</v>
      </c>
      <c r="J41" s="9" t="e">
        <f t="shared" ref="J41" si="36">(F41-D41)/D41*100</f>
        <v>#DIV/0!</v>
      </c>
      <c r="K41" s="9">
        <f t="shared" ref="K41" si="37">D41-B41</f>
        <v>0</v>
      </c>
      <c r="L41" s="9">
        <f t="shared" ref="L41" si="38">F41-D41</f>
        <v>0</v>
      </c>
    </row>
    <row r="42" spans="1:12" ht="15" customHeight="1" x14ac:dyDescent="0.3">
      <c r="A42" s="6" t="s">
        <v>22</v>
      </c>
      <c r="B42" s="9"/>
      <c r="C42" s="9">
        <f>B42/B$58*100</f>
        <v>0</v>
      </c>
      <c r="D42" s="9"/>
      <c r="E42" s="9">
        <f>D42/D$58*100</f>
        <v>0</v>
      </c>
      <c r="F42" s="9"/>
      <c r="G42" s="9">
        <f t="shared" si="34"/>
        <v>0</v>
      </c>
      <c r="I42" s="9" t="e">
        <f t="shared" si="0"/>
        <v>#DIV/0!</v>
      </c>
      <c r="J42" s="9" t="e">
        <f t="shared" si="1"/>
        <v>#DIV/0!</v>
      </c>
      <c r="K42" s="9">
        <f t="shared" si="31"/>
        <v>0</v>
      </c>
      <c r="L42" s="9">
        <f t="shared" si="32"/>
        <v>0</v>
      </c>
    </row>
    <row r="43" spans="1:12" ht="15" customHeight="1" x14ac:dyDescent="0.3">
      <c r="A43" s="6" t="s">
        <v>25</v>
      </c>
      <c r="B43" s="9"/>
      <c r="C43" s="9">
        <f>B43/B$58*100</f>
        <v>0</v>
      </c>
      <c r="D43" s="9"/>
      <c r="E43" s="9">
        <f>D43/D$58*100</f>
        <v>0</v>
      </c>
      <c r="F43" s="9"/>
      <c r="G43" s="9">
        <f t="shared" si="34"/>
        <v>0</v>
      </c>
      <c r="I43" s="9" t="e">
        <f t="shared" ref="I43" si="39">(D43-B43)/B43*100</f>
        <v>#DIV/0!</v>
      </c>
      <c r="J43" s="9" t="e">
        <f t="shared" ref="J43" si="40">(F43-D43)/D43*100</f>
        <v>#DIV/0!</v>
      </c>
      <c r="K43" s="9">
        <f t="shared" ref="K43" si="41">D43-B43</f>
        <v>0</v>
      </c>
      <c r="L43" s="9">
        <f t="shared" ref="L43" si="42">F43-D43</f>
        <v>0</v>
      </c>
    </row>
    <row r="44" spans="1:12" ht="6.75" customHeight="1" x14ac:dyDescent="0.3">
      <c r="B44" s="9"/>
      <c r="C44" s="92"/>
      <c r="D44" s="9"/>
      <c r="E44" s="92"/>
      <c r="F44" s="9"/>
      <c r="G44" s="92"/>
      <c r="I44" s="9"/>
      <c r="J44" s="9"/>
      <c r="K44" s="92"/>
      <c r="L44" s="92"/>
    </row>
    <row r="45" spans="1:12" ht="15" customHeight="1" x14ac:dyDescent="0.3">
      <c r="A45" s="25" t="s">
        <v>93</v>
      </c>
      <c r="B45" s="92">
        <f>B46</f>
        <v>69750</v>
      </c>
      <c r="C45" s="92">
        <f>B45/B$58*100</f>
        <v>14.720478376889472</v>
      </c>
      <c r="D45" s="92">
        <f>D46</f>
        <v>73237.5</v>
      </c>
      <c r="E45" s="92">
        <f>D45/D$58*100</f>
        <v>14.723177315463101</v>
      </c>
      <c r="F45" s="92">
        <f>F46</f>
        <v>76899.375</v>
      </c>
      <c r="G45" s="92">
        <f t="shared" ref="G45" si="43">F45/F$58*100</f>
        <v>14.460306313633186</v>
      </c>
      <c r="I45" s="92">
        <f t="shared" si="0"/>
        <v>5</v>
      </c>
      <c r="J45" s="92">
        <f t="shared" si="1"/>
        <v>5</v>
      </c>
      <c r="K45" s="92">
        <f t="shared" si="31"/>
        <v>3487.5</v>
      </c>
      <c r="L45" s="92">
        <f t="shared" si="32"/>
        <v>3661.875</v>
      </c>
    </row>
    <row r="46" spans="1:12" ht="15" customHeight="1" x14ac:dyDescent="0.3">
      <c r="A46" s="6" t="s">
        <v>23</v>
      </c>
      <c r="B46" s="9">
        <f>'70-40-44-55'!D28</f>
        <v>69750</v>
      </c>
      <c r="C46" s="9">
        <f>B46/B$58*100</f>
        <v>14.720478376889472</v>
      </c>
      <c r="D46" s="9">
        <f>'70-40-44-55'!D32</f>
        <v>73237.5</v>
      </c>
      <c r="E46" s="9">
        <f>D46/D$58*100</f>
        <v>14.723177315463101</v>
      </c>
      <c r="F46" s="9">
        <f>'70-40-44-55'!D36</f>
        <v>76899.375</v>
      </c>
      <c r="G46" s="9">
        <f t="shared" ref="G46" si="44">F46/F$58*100</f>
        <v>14.460306313633186</v>
      </c>
      <c r="I46" s="9">
        <f t="shared" si="0"/>
        <v>5</v>
      </c>
      <c r="J46" s="9">
        <f t="shared" si="1"/>
        <v>5</v>
      </c>
      <c r="K46" s="315">
        <f t="shared" si="31"/>
        <v>3487.5</v>
      </c>
      <c r="L46" s="315">
        <f t="shared" si="32"/>
        <v>3661.875</v>
      </c>
    </row>
    <row r="47" spans="1:12" ht="6" customHeight="1" x14ac:dyDescent="0.3">
      <c r="B47" s="9"/>
      <c r="C47" s="92"/>
      <c r="D47" s="9"/>
      <c r="E47" s="92"/>
      <c r="F47" s="9"/>
      <c r="G47" s="92"/>
      <c r="I47" s="9"/>
      <c r="J47" s="9"/>
      <c r="K47" s="92"/>
      <c r="L47" s="92"/>
    </row>
    <row r="48" spans="1:12" ht="15" customHeight="1" x14ac:dyDescent="0.3">
      <c r="A48" s="25" t="s">
        <v>94</v>
      </c>
      <c r="B48" s="92">
        <f>SUM(B49:B51)</f>
        <v>15649.924647278269</v>
      </c>
      <c r="C48" s="92">
        <f>B48/B$58*100</f>
        <v>3.3028584569205641</v>
      </c>
      <c r="D48" s="92">
        <f>SUM(D49:D51)</f>
        <v>14550.526980171671</v>
      </c>
      <c r="E48" s="92">
        <f>D48/D$58*100</f>
        <v>2.9251406555725876</v>
      </c>
      <c r="F48" s="92">
        <f>SUM(F49:F51)</f>
        <v>17210.601823384572</v>
      </c>
      <c r="G48" s="92">
        <f t="shared" ref="G48" si="45">F48/F$58*100</f>
        <v>3.2363146541583045</v>
      </c>
      <c r="I48" s="92">
        <f t="shared" si="0"/>
        <v>-7.024939045299476</v>
      </c>
      <c r="J48" s="92">
        <f t="shared" si="1"/>
        <v>18.281639193122309</v>
      </c>
      <c r="K48" s="92">
        <f t="shared" si="31"/>
        <v>-1099.3976671065975</v>
      </c>
      <c r="L48" s="92">
        <f t="shared" si="32"/>
        <v>2660.0748432129003</v>
      </c>
    </row>
    <row r="49" spans="1:15" ht="15" customHeight="1" x14ac:dyDescent="0.3">
      <c r="A49" s="6" t="s">
        <v>24</v>
      </c>
      <c r="B49" s="9">
        <f>RESULTAAT!B52</f>
        <v>15649.924647278269</v>
      </c>
      <c r="C49" s="9">
        <f>B49/B$58*100</f>
        <v>3.3028584569205641</v>
      </c>
      <c r="D49" s="9">
        <f>RESULTAAT!C52</f>
        <v>14550.526980171671</v>
      </c>
      <c r="E49" s="9">
        <f>D49/D$58*100</f>
        <v>2.9251406555725876</v>
      </c>
      <c r="F49" s="9">
        <f>RESULTAAT!D52</f>
        <v>17210.601823384572</v>
      </c>
      <c r="G49" s="9">
        <f t="shared" ref="G49" si="46">F49/F$58*100</f>
        <v>3.2363146541583045</v>
      </c>
      <c r="I49" s="9">
        <f t="shared" si="0"/>
        <v>-7.024939045299476</v>
      </c>
      <c r="J49" s="9">
        <f t="shared" si="1"/>
        <v>18.281639193122309</v>
      </c>
      <c r="K49" s="315">
        <f t="shared" si="31"/>
        <v>-1099.3976671065975</v>
      </c>
      <c r="L49" s="315">
        <f t="shared" si="32"/>
        <v>2660.0748432129003</v>
      </c>
    </row>
    <row r="50" spans="1:15" ht="15" customHeight="1" x14ac:dyDescent="0.3">
      <c r="A50" s="6" t="s">
        <v>205</v>
      </c>
      <c r="B50" s="9"/>
      <c r="C50" s="9"/>
      <c r="D50" s="9"/>
      <c r="E50" s="9"/>
      <c r="F50" s="9"/>
      <c r="G50" s="9"/>
      <c r="I50" s="9"/>
      <c r="J50" s="9"/>
      <c r="K50" s="9"/>
      <c r="L50" s="9"/>
    </row>
    <row r="51" spans="1:15" ht="15" customHeight="1" x14ac:dyDescent="0.3">
      <c r="A51" s="6" t="s">
        <v>244</v>
      </c>
      <c r="B51" s="9"/>
      <c r="C51" s="9">
        <f>B51/B$58*100</f>
        <v>0</v>
      </c>
      <c r="D51" s="9"/>
      <c r="E51" s="9">
        <f>D51/D$58*100</f>
        <v>0</v>
      </c>
      <c r="F51" s="9"/>
      <c r="G51" s="9">
        <f t="shared" ref="G51" si="47">F51/F$58*100</f>
        <v>0</v>
      </c>
      <c r="I51" s="9" t="e">
        <f t="shared" si="0"/>
        <v>#DIV/0!</v>
      </c>
      <c r="J51" s="9" t="e">
        <f t="shared" si="1"/>
        <v>#DIV/0!</v>
      </c>
      <c r="K51" s="9">
        <f t="shared" si="31"/>
        <v>0</v>
      </c>
      <c r="L51" s="9">
        <f t="shared" si="32"/>
        <v>0</v>
      </c>
    </row>
    <row r="52" spans="1:15" ht="6" customHeight="1" x14ac:dyDescent="0.3">
      <c r="B52" s="9"/>
      <c r="C52" s="92"/>
      <c r="D52" s="9"/>
      <c r="E52" s="92"/>
      <c r="F52" s="9"/>
      <c r="G52" s="92"/>
      <c r="I52" s="9"/>
      <c r="J52" s="9"/>
      <c r="K52" s="92"/>
      <c r="L52" s="92"/>
    </row>
    <row r="53" spans="1:15" ht="15" customHeight="1" x14ac:dyDescent="0.3">
      <c r="A53" s="25" t="s">
        <v>25</v>
      </c>
      <c r="B53" s="92">
        <f>B54</f>
        <v>0</v>
      </c>
      <c r="C53" s="92">
        <f>B53/B$58*100</f>
        <v>0</v>
      </c>
      <c r="D53" s="92">
        <f>D54</f>
        <v>0</v>
      </c>
      <c r="E53" s="92">
        <f>D53/D$58*100</f>
        <v>0</v>
      </c>
      <c r="F53" s="92">
        <f>F54</f>
        <v>0</v>
      </c>
      <c r="G53" s="92">
        <f t="shared" ref="G53" si="48">F53/F$58*100</f>
        <v>0</v>
      </c>
      <c r="I53" s="92" t="e">
        <f t="shared" si="0"/>
        <v>#DIV/0!</v>
      </c>
      <c r="J53" s="92" t="e">
        <f t="shared" si="1"/>
        <v>#DIV/0!</v>
      </c>
      <c r="K53" s="92">
        <f t="shared" si="31"/>
        <v>0</v>
      </c>
      <c r="L53" s="92">
        <f t="shared" si="32"/>
        <v>0</v>
      </c>
      <c r="O53" s="254"/>
    </row>
    <row r="54" spans="1:15" ht="15" customHeight="1" x14ac:dyDescent="0.3">
      <c r="A54" s="6" t="s">
        <v>95</v>
      </c>
      <c r="B54" s="9"/>
      <c r="C54" s="9">
        <f>B54/B$58*100</f>
        <v>0</v>
      </c>
      <c r="D54" s="9">
        <f>B54</f>
        <v>0</v>
      </c>
      <c r="E54" s="9">
        <f>D54/D$58*100</f>
        <v>0</v>
      </c>
      <c r="F54" s="9">
        <f>D54</f>
        <v>0</v>
      </c>
      <c r="G54" s="9">
        <f t="shared" ref="G54" si="49">F54/F$58*100</f>
        <v>0</v>
      </c>
      <c r="I54" s="9" t="e">
        <f t="shared" si="0"/>
        <v>#DIV/0!</v>
      </c>
      <c r="J54" s="9" t="e">
        <f t="shared" si="1"/>
        <v>#DIV/0!</v>
      </c>
      <c r="K54" s="9">
        <f t="shared" si="31"/>
        <v>0</v>
      </c>
      <c r="L54" s="9">
        <f t="shared" si="32"/>
        <v>0</v>
      </c>
    </row>
    <row r="55" spans="1:15" ht="5.25" customHeight="1" x14ac:dyDescent="0.3">
      <c r="B55" s="9"/>
      <c r="C55" s="92"/>
      <c r="D55" s="9"/>
      <c r="E55" s="92"/>
      <c r="F55" s="9"/>
      <c r="G55" s="92"/>
      <c r="I55" s="9"/>
      <c r="J55" s="9"/>
      <c r="K55" s="92"/>
      <c r="L55" s="92"/>
    </row>
    <row r="56" spans="1:15" ht="15" customHeight="1" x14ac:dyDescent="0.3">
      <c r="A56" s="25" t="s">
        <v>122</v>
      </c>
      <c r="B56" s="92">
        <f>Aflossingstabel!J44</f>
        <v>1009.9598850798457</v>
      </c>
      <c r="C56" s="92">
        <f>B56/B$58*100</f>
        <v>0.21314828171818848</v>
      </c>
      <c r="D56" s="92">
        <f>Aflossingstabel!J45</f>
        <v>919.84181480616314</v>
      </c>
      <c r="E56" s="92">
        <f>D56/D$58*100</f>
        <v>0.18491884815249718</v>
      </c>
      <c r="F56" s="92">
        <f>Aflossingstabel!J46</f>
        <v>825.11313302383894</v>
      </c>
      <c r="G56" s="92">
        <f t="shared" ref="G56" si="50">F56/F$58*100</f>
        <v>0.15515585980934538</v>
      </c>
      <c r="I56" s="92">
        <f t="shared" si="0"/>
        <v>-8.9229356140771809</v>
      </c>
      <c r="J56" s="92">
        <f t="shared" si="1"/>
        <v>-10.298366551458225</v>
      </c>
      <c r="K56" s="314">
        <f t="shared" si="31"/>
        <v>-90.11807027368252</v>
      </c>
      <c r="L56" s="314">
        <f t="shared" si="32"/>
        <v>-94.728681782324202</v>
      </c>
    </row>
    <row r="57" spans="1:15" ht="6" customHeight="1" x14ac:dyDescent="0.3">
      <c r="B57" s="9"/>
      <c r="C57" s="9"/>
      <c r="D57" s="9"/>
      <c r="E57" s="9"/>
      <c r="F57" s="9"/>
      <c r="G57" s="9"/>
      <c r="I57" s="9"/>
      <c r="J57" s="9"/>
      <c r="K57" s="9"/>
      <c r="L57" s="9"/>
    </row>
    <row r="58" spans="1:15" ht="15" customHeight="1" x14ac:dyDescent="0.3">
      <c r="A58" s="134" t="s">
        <v>26</v>
      </c>
      <c r="B58" s="127">
        <f>B35+B28+B6</f>
        <v>473829.70997399476</v>
      </c>
      <c r="C58" s="127">
        <v>100</v>
      </c>
      <c r="D58" s="127">
        <f>D35+D28+D6</f>
        <v>497429.99374925613</v>
      </c>
      <c r="E58" s="127">
        <v>100</v>
      </c>
      <c r="F58" s="127">
        <f>F35+F28+F6+F23</f>
        <v>531796.30729882407</v>
      </c>
      <c r="G58" s="11">
        <v>100</v>
      </c>
      <c r="I58" s="31">
        <f t="shared" si="0"/>
        <v>4.9807522150851682</v>
      </c>
      <c r="J58" s="31">
        <f t="shared" si="1"/>
        <v>6.9087738940992116</v>
      </c>
      <c r="K58" s="31">
        <f>D58-B58</f>
        <v>23600.28377526137</v>
      </c>
      <c r="L58" s="31">
        <f>F58-D58</f>
        <v>34366.313549567945</v>
      </c>
    </row>
  </sheetData>
  <sheetProtection selectLockedCells="1" selectUnlockedCells="1"/>
  <mergeCells count="2">
    <mergeCell ref="I4:J4"/>
    <mergeCell ref="K4:L4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1"/>
  <sheetViews>
    <sheetView topLeftCell="A40" workbookViewId="0">
      <selection activeCell="E63" sqref="E63"/>
    </sheetView>
  </sheetViews>
  <sheetFormatPr defaultColWidth="9.21875" defaultRowHeight="13.8" x14ac:dyDescent="0.3"/>
  <cols>
    <col min="1" max="1" width="38.5546875" style="6" bestFit="1" customWidth="1"/>
    <col min="2" max="2" width="13" style="2" hidden="1" customWidth="1"/>
    <col min="3" max="3" width="9.77734375" style="2" customWidth="1"/>
    <col min="4" max="4" width="13" style="2" hidden="1" customWidth="1"/>
    <col min="5" max="5" width="9.77734375" style="2" customWidth="1"/>
    <col min="6" max="6" width="13" style="2" hidden="1" customWidth="1"/>
    <col min="7" max="7" width="9.77734375" style="2" customWidth="1"/>
    <col min="8" max="8" width="6.5546875" style="6" customWidth="1"/>
    <col min="9" max="10" width="9.77734375" style="2" customWidth="1"/>
    <col min="11" max="12" width="13.77734375" style="6" customWidth="1"/>
    <col min="13" max="16384" width="9.21875" style="6"/>
  </cols>
  <sheetData>
    <row r="1" spans="1:12" ht="15" customHeight="1" x14ac:dyDescent="0.3">
      <c r="A1" s="104" t="str">
        <f>ACTIVA!A1</f>
        <v>VDO</v>
      </c>
    </row>
    <row r="2" spans="1:12" ht="15" customHeight="1" x14ac:dyDescent="0.3">
      <c r="A2" s="21" t="str">
        <f>ACTIVA!A2</f>
        <v>BALANS NA WINSTVERDELING</v>
      </c>
      <c r="B2" s="6"/>
      <c r="C2" s="6"/>
      <c r="D2" s="6"/>
      <c r="E2" s="6"/>
      <c r="F2" s="6"/>
      <c r="G2" s="6"/>
      <c r="I2" s="6"/>
      <c r="J2" s="6"/>
    </row>
    <row r="3" spans="1:12" ht="7.5" customHeight="1" x14ac:dyDescent="0.3">
      <c r="A3" s="21"/>
      <c r="B3" s="6"/>
      <c r="C3" s="6"/>
      <c r="D3" s="6"/>
      <c r="E3" s="6"/>
      <c r="F3" s="6"/>
      <c r="G3" s="6"/>
      <c r="I3" s="6"/>
      <c r="J3" s="6"/>
    </row>
    <row r="4" spans="1:12" ht="15" customHeight="1" x14ac:dyDescent="0.3">
      <c r="A4" s="21"/>
      <c r="B4" s="6"/>
      <c r="C4" s="325" t="s">
        <v>237</v>
      </c>
      <c r="D4" s="326"/>
      <c r="E4" s="326"/>
      <c r="F4" s="326"/>
      <c r="G4" s="327"/>
      <c r="I4" s="325" t="s">
        <v>238</v>
      </c>
      <c r="J4" s="326"/>
      <c r="K4" s="326"/>
      <c r="L4" s="327"/>
    </row>
    <row r="5" spans="1:12" s="16" customFormat="1" ht="15" customHeight="1" x14ac:dyDescent="0.3">
      <c r="A5" s="23" t="s">
        <v>15</v>
      </c>
      <c r="B5" s="87" t="str">
        <f>ACTIVA!B4</f>
        <v>Jaar 1</v>
      </c>
      <c r="C5" s="105" t="str">
        <f>'ACTIVA analyse'!C4</f>
        <v>Jaar 1</v>
      </c>
      <c r="D5" s="91" t="str">
        <f>'ACTIVA analyse'!D4</f>
        <v>Jaar 2</v>
      </c>
      <c r="E5" s="91" t="str">
        <f>'ACTIVA analyse'!E4</f>
        <v>Jaar 2</v>
      </c>
      <c r="F5" s="91" t="str">
        <f>'ACTIVA analyse'!F4</f>
        <v>Jaar 3</v>
      </c>
      <c r="G5" s="91" t="str">
        <f>'ACTIVA analyse'!G4</f>
        <v>Jaar 3</v>
      </c>
      <c r="I5" s="322" t="s">
        <v>140</v>
      </c>
      <c r="J5" s="323"/>
      <c r="K5" s="322" t="s">
        <v>178</v>
      </c>
      <c r="L5" s="323"/>
    </row>
    <row r="6" spans="1:12" ht="15" customHeight="1" x14ac:dyDescent="0.3">
      <c r="A6" s="22"/>
      <c r="B6" s="92"/>
      <c r="C6" s="92" t="s">
        <v>139</v>
      </c>
      <c r="D6" s="92"/>
      <c r="E6" s="92" t="s">
        <v>139</v>
      </c>
      <c r="F6" s="92"/>
      <c r="G6" s="15" t="s">
        <v>139</v>
      </c>
      <c r="I6" s="94" t="s">
        <v>141</v>
      </c>
      <c r="J6" s="85" t="s">
        <v>142</v>
      </c>
      <c r="K6" s="94" t="s">
        <v>141</v>
      </c>
      <c r="L6" s="85" t="s">
        <v>142</v>
      </c>
    </row>
    <row r="7" spans="1:12" x14ac:dyDescent="0.3">
      <c r="A7" s="126" t="s">
        <v>16</v>
      </c>
      <c r="B7" s="127">
        <f>B9+B15+B20+B13+B22</f>
        <v>136949.77394183481</v>
      </c>
      <c r="C7" s="131">
        <f>B7/B59*100</f>
        <v>28.902741018361013</v>
      </c>
      <c r="D7" s="131">
        <f>D9+D15+D20+D13+D22</f>
        <v>180601.35488234981</v>
      </c>
      <c r="E7" s="131">
        <f>D7/D59*100</f>
        <v>36.306888838992514</v>
      </c>
      <c r="F7" s="131">
        <f>F9+F15+F20+F13+F22</f>
        <v>232233.16035250353</v>
      </c>
      <c r="G7" s="131">
        <f>F7/F59*100</f>
        <v>43.669569939681502</v>
      </c>
      <c r="I7" s="131">
        <f>(D7-B7)/B7*100</f>
        <v>31.874153336722316</v>
      </c>
      <c r="J7" s="131">
        <f>(F7-D7)/D7*100</f>
        <v>28.588825097014652</v>
      </c>
      <c r="K7" s="131">
        <f>D7-B7</f>
        <v>43651.580940515007</v>
      </c>
      <c r="L7" s="131">
        <f>F7-D7</f>
        <v>51631.805470153718</v>
      </c>
    </row>
    <row r="8" spans="1:12" ht="6.75" customHeight="1" x14ac:dyDescent="0.3">
      <c r="B8" s="9"/>
      <c r="C8" s="9"/>
      <c r="D8" s="9"/>
      <c r="E8" s="9"/>
      <c r="F8" s="9"/>
      <c r="G8" s="9"/>
      <c r="I8" s="8"/>
      <c r="J8" s="8"/>
      <c r="K8" s="8"/>
      <c r="L8" s="8"/>
    </row>
    <row r="9" spans="1:12" ht="15" customHeight="1" x14ac:dyDescent="0.3">
      <c r="A9" s="25" t="str">
        <f>PASSIVA!A8</f>
        <v>Inbreng</v>
      </c>
      <c r="B9" s="92">
        <f>SUM(B10:B11)</f>
        <v>90000</v>
      </c>
      <c r="C9" s="137">
        <f>B9/B$59*100</f>
        <v>18.994165647599321</v>
      </c>
      <c r="D9" s="137">
        <f>SUM(D10:D11)</f>
        <v>90000</v>
      </c>
      <c r="E9" s="137">
        <f>D9/D$59*100</f>
        <v>18.092998237128235</v>
      </c>
      <c r="F9" s="137">
        <f>SUM(F10:F11)</f>
        <v>90000</v>
      </c>
      <c r="G9" s="137">
        <f>F9/F$59*100</f>
        <v>16.923773024514009</v>
      </c>
      <c r="H9" s="25"/>
      <c r="I9" s="137">
        <f t="shared" ref="I9:I59" si="0">(D9-B9)/B9*100</f>
        <v>0</v>
      </c>
      <c r="J9" s="137">
        <f t="shared" ref="J9:J59" si="1">(F9-D9)/D9*100</f>
        <v>0</v>
      </c>
      <c r="K9" s="137">
        <f>D9-B9</f>
        <v>0</v>
      </c>
      <c r="L9" s="137">
        <f>F9-D9</f>
        <v>0</v>
      </c>
    </row>
    <row r="10" spans="1:12" ht="15" customHeight="1" x14ac:dyDescent="0.3">
      <c r="A10" s="6" t="str">
        <f>PASSIVA!A9</f>
        <v>Beschikbaar</v>
      </c>
      <c r="B10" s="9">
        <f>PASSIVA!B9</f>
        <v>90000</v>
      </c>
      <c r="C10" s="9">
        <f>B10/B$59*100</f>
        <v>18.994165647599321</v>
      </c>
      <c r="D10" s="9">
        <f>PASSIVA!D9</f>
        <v>90000</v>
      </c>
      <c r="E10" s="9">
        <f>D10/D$59*100</f>
        <v>18.092998237128235</v>
      </c>
      <c r="F10" s="9">
        <f>PASSIVA!F9</f>
        <v>90000</v>
      </c>
      <c r="G10" s="9">
        <f t="shared" ref="G10:G11" si="2">F10/F$59*100</f>
        <v>16.923773024514009</v>
      </c>
      <c r="I10" s="9">
        <f t="shared" si="0"/>
        <v>0</v>
      </c>
      <c r="J10" s="9">
        <f t="shared" si="1"/>
        <v>0</v>
      </c>
      <c r="K10" s="9">
        <f t="shared" ref="K10:K20" si="3">D10-B10</f>
        <v>0</v>
      </c>
      <c r="L10" s="9">
        <f t="shared" ref="L10:L20" si="4">F10-D10</f>
        <v>0</v>
      </c>
    </row>
    <row r="11" spans="1:12" ht="15" customHeight="1" x14ac:dyDescent="0.3">
      <c r="A11" s="6" t="str">
        <f>PASSIVA!A10</f>
        <v>Onbeschikbaar</v>
      </c>
      <c r="B11" s="9">
        <f>PASSIVA!B10</f>
        <v>0</v>
      </c>
      <c r="C11" s="9">
        <f>B11/B$59*100</f>
        <v>0</v>
      </c>
      <c r="D11" s="9">
        <f>PASSIVA!D10</f>
        <v>0</v>
      </c>
      <c r="E11" s="9">
        <f>D11/D$59*100</f>
        <v>0</v>
      </c>
      <c r="F11" s="9">
        <f>PASSIVA!F10</f>
        <v>0</v>
      </c>
      <c r="G11" s="9">
        <f t="shared" si="2"/>
        <v>0</v>
      </c>
      <c r="I11" s="9" t="e">
        <f t="shared" si="0"/>
        <v>#DIV/0!</v>
      </c>
      <c r="J11" s="9" t="e">
        <f t="shared" si="1"/>
        <v>#DIV/0!</v>
      </c>
      <c r="K11" s="9">
        <f t="shared" si="3"/>
        <v>0</v>
      </c>
      <c r="L11" s="9">
        <f t="shared" si="4"/>
        <v>0</v>
      </c>
    </row>
    <row r="12" spans="1:12" ht="6" customHeight="1" x14ac:dyDescent="0.3">
      <c r="B12" s="9"/>
      <c r="C12" s="92"/>
      <c r="D12" s="9"/>
      <c r="E12" s="92"/>
      <c r="F12" s="9"/>
      <c r="G12" s="92"/>
      <c r="I12" s="9"/>
      <c r="J12" s="9"/>
      <c r="K12" s="92"/>
      <c r="L12" s="92"/>
    </row>
    <row r="13" spans="1:12" ht="15" customHeight="1" x14ac:dyDescent="0.3">
      <c r="A13" s="25" t="str">
        <f>PASSIVA!A12</f>
        <v>Herwaarderingsmeerwaarden</v>
      </c>
      <c r="B13" s="92">
        <f>PASSIVA!B12</f>
        <v>0</v>
      </c>
      <c r="C13" s="137">
        <f>B13/B$59*100</f>
        <v>0</v>
      </c>
      <c r="D13" s="137">
        <f>PASSIVA!D12</f>
        <v>0</v>
      </c>
      <c r="E13" s="137">
        <f>D13/D$59*100</f>
        <v>0</v>
      </c>
      <c r="F13" s="137">
        <f>PASSIVA!F12</f>
        <v>0</v>
      </c>
      <c r="G13" s="137">
        <f t="shared" ref="G13" si="5">F13/F$59*100</f>
        <v>0</v>
      </c>
      <c r="H13" s="109"/>
      <c r="I13" s="137" t="e">
        <f t="shared" si="0"/>
        <v>#DIV/0!</v>
      </c>
      <c r="J13" s="137" t="e">
        <f t="shared" si="1"/>
        <v>#DIV/0!</v>
      </c>
      <c r="K13" s="137">
        <f t="shared" si="3"/>
        <v>0</v>
      </c>
      <c r="L13" s="137">
        <f t="shared" si="4"/>
        <v>0</v>
      </c>
    </row>
    <row r="14" spans="1:12" ht="6" customHeight="1" x14ac:dyDescent="0.3">
      <c r="B14" s="9"/>
      <c r="C14" s="92"/>
      <c r="D14" s="9"/>
      <c r="E14" s="92"/>
      <c r="F14" s="9"/>
      <c r="G14" s="92"/>
      <c r="I14" s="9"/>
      <c r="J14" s="9"/>
      <c r="K14" s="92"/>
      <c r="L14" s="92"/>
    </row>
    <row r="15" spans="1:12" ht="15" customHeight="1" x14ac:dyDescent="0.3">
      <c r="A15" s="25" t="str">
        <f>PASSIVA!A14</f>
        <v>Reserves</v>
      </c>
      <c r="B15" s="92">
        <f>SUM(B16:B18)</f>
        <v>0</v>
      </c>
      <c r="C15" s="137">
        <f>B15/B$59*100</f>
        <v>0</v>
      </c>
      <c r="D15" s="137">
        <f>SUM(D16:D18)</f>
        <v>0</v>
      </c>
      <c r="E15" s="137">
        <f>D15/D$59*100</f>
        <v>0</v>
      </c>
      <c r="F15" s="137">
        <f>SUM(F16:F18)</f>
        <v>0</v>
      </c>
      <c r="G15" s="137">
        <f t="shared" ref="G15:G18" si="6">F15/F$59*100</f>
        <v>0</v>
      </c>
      <c r="H15" s="25"/>
      <c r="I15" s="137" t="e">
        <f t="shared" si="0"/>
        <v>#DIV/0!</v>
      </c>
      <c r="J15" s="137" t="e">
        <f t="shared" si="1"/>
        <v>#DIV/0!</v>
      </c>
      <c r="K15" s="137">
        <f t="shared" si="3"/>
        <v>0</v>
      </c>
      <c r="L15" s="137">
        <f t="shared" si="4"/>
        <v>0</v>
      </c>
    </row>
    <row r="16" spans="1:12" ht="15" customHeight="1" x14ac:dyDescent="0.3">
      <c r="A16" s="6" t="str">
        <f>PASSIVA!A15</f>
        <v>Onbeschikbare Reserves</v>
      </c>
      <c r="B16" s="9">
        <f>PASSIVA!B15</f>
        <v>0</v>
      </c>
      <c r="C16" s="9">
        <f>B16/B$59*100</f>
        <v>0</v>
      </c>
      <c r="D16" s="9">
        <f>PASSIVA!D15</f>
        <v>0</v>
      </c>
      <c r="E16" s="9">
        <f>D16/D$59*100</f>
        <v>0</v>
      </c>
      <c r="F16" s="9">
        <f>PASSIVA!F15</f>
        <v>0</v>
      </c>
      <c r="G16" s="9">
        <f t="shared" si="6"/>
        <v>0</v>
      </c>
      <c r="I16" s="9" t="e">
        <f t="shared" si="0"/>
        <v>#DIV/0!</v>
      </c>
      <c r="J16" s="9" t="e">
        <f t="shared" si="1"/>
        <v>#DIV/0!</v>
      </c>
      <c r="K16" s="9">
        <f t="shared" si="3"/>
        <v>0</v>
      </c>
      <c r="L16" s="9">
        <f t="shared" si="4"/>
        <v>0</v>
      </c>
    </row>
    <row r="17" spans="1:12" ht="15" customHeight="1" x14ac:dyDescent="0.3">
      <c r="A17" s="6" t="str">
        <f>PASSIVA!A16</f>
        <v>Belastingvrije Reserves</v>
      </c>
      <c r="B17" s="9">
        <f>PASSIVA!B16</f>
        <v>0</v>
      </c>
      <c r="C17" s="9">
        <f>B17/B$59*100</f>
        <v>0</v>
      </c>
      <c r="D17" s="9">
        <f>PASSIVA!D16</f>
        <v>0</v>
      </c>
      <c r="E17" s="9">
        <f>D17/D$59*100</f>
        <v>0</v>
      </c>
      <c r="F17" s="9">
        <f>PASSIVA!F16</f>
        <v>0</v>
      </c>
      <c r="G17" s="9">
        <f t="shared" si="6"/>
        <v>0</v>
      </c>
      <c r="I17" s="9" t="e">
        <f t="shared" si="0"/>
        <v>#DIV/0!</v>
      </c>
      <c r="J17" s="9" t="e">
        <f t="shared" si="1"/>
        <v>#DIV/0!</v>
      </c>
      <c r="K17" s="9">
        <f t="shared" si="3"/>
        <v>0</v>
      </c>
      <c r="L17" s="9">
        <f t="shared" si="4"/>
        <v>0</v>
      </c>
    </row>
    <row r="18" spans="1:12" ht="15" customHeight="1" x14ac:dyDescent="0.3">
      <c r="A18" s="6" t="str">
        <f>PASSIVA!A17</f>
        <v>Beschikbare Reserves</v>
      </c>
      <c r="B18" s="9">
        <f>PASSIVA!B17</f>
        <v>0</v>
      </c>
      <c r="C18" s="9">
        <f>B18/B$59*100</f>
        <v>0</v>
      </c>
      <c r="D18" s="9">
        <f>PASSIVA!D17</f>
        <v>0</v>
      </c>
      <c r="E18" s="9">
        <f>D18/D$59*100</f>
        <v>0</v>
      </c>
      <c r="F18" s="9">
        <f>PASSIVA!F17</f>
        <v>0</v>
      </c>
      <c r="G18" s="9">
        <f t="shared" si="6"/>
        <v>0</v>
      </c>
      <c r="I18" s="9" t="e">
        <f t="shared" si="0"/>
        <v>#DIV/0!</v>
      </c>
      <c r="J18" s="9" t="e">
        <f t="shared" si="1"/>
        <v>#DIV/0!</v>
      </c>
      <c r="K18" s="9">
        <f t="shared" si="3"/>
        <v>0</v>
      </c>
      <c r="L18" s="9">
        <f t="shared" si="4"/>
        <v>0</v>
      </c>
    </row>
    <row r="19" spans="1:12" ht="5.25" customHeight="1" x14ac:dyDescent="0.3">
      <c r="B19" s="92"/>
      <c r="C19" s="92"/>
      <c r="D19" s="92"/>
      <c r="E19" s="92"/>
      <c r="F19" s="92"/>
      <c r="G19" s="92"/>
      <c r="I19" s="9"/>
      <c r="J19" s="9"/>
      <c r="K19" s="92"/>
      <c r="L19" s="92"/>
    </row>
    <row r="20" spans="1:12" ht="15" customHeight="1" x14ac:dyDescent="0.3">
      <c r="A20" s="25" t="str">
        <f>PASSIVA!A19</f>
        <v>Overgedragen Resultaat</v>
      </c>
      <c r="B20" s="92">
        <f>PASSIVA!B19</f>
        <v>46949.773941834806</v>
      </c>
      <c r="C20" s="137">
        <f>B20/B$59*100</f>
        <v>9.9085753707616941</v>
      </c>
      <c r="D20" s="137">
        <f>PASSIVA!D19</f>
        <v>90601.354882349813</v>
      </c>
      <c r="E20" s="137">
        <f>D20/D$59*100</f>
        <v>18.213890601864275</v>
      </c>
      <c r="F20" s="137">
        <f>PASSIVA!F19</f>
        <v>142233.16035250353</v>
      </c>
      <c r="G20" s="137">
        <f t="shared" ref="G20" si="7">F20/F$59*100</f>
        <v>26.745796915167492</v>
      </c>
      <c r="H20" s="25"/>
      <c r="I20" s="137">
        <f t="shared" si="0"/>
        <v>92.97506095470051</v>
      </c>
      <c r="J20" s="137">
        <f t="shared" si="1"/>
        <v>56.987895531143081</v>
      </c>
      <c r="K20" s="137">
        <f t="shared" si="3"/>
        <v>43651.580940515007</v>
      </c>
      <c r="L20" s="137">
        <f t="shared" si="4"/>
        <v>51631.805470153718</v>
      </c>
    </row>
    <row r="21" spans="1:12" ht="7.5" customHeight="1" x14ac:dyDescent="0.3">
      <c r="A21" s="25"/>
      <c r="B21" s="92"/>
      <c r="C21" s="92"/>
      <c r="D21" s="92"/>
      <c r="E21" s="92"/>
      <c r="F21" s="92"/>
      <c r="G21" s="92"/>
      <c r="I21" s="92"/>
      <c r="J21" s="92"/>
      <c r="K21" s="92"/>
      <c r="L21" s="92"/>
    </row>
    <row r="22" spans="1:12" ht="15" customHeight="1" x14ac:dyDescent="0.3">
      <c r="A22" s="25" t="str">
        <f>PASSIVA!A21</f>
        <v>Kapitaalsubsidies</v>
      </c>
      <c r="B22" s="92">
        <f>PASSIVA!B21</f>
        <v>0</v>
      </c>
      <c r="C22" s="137">
        <f>B22/B$59*100</f>
        <v>0</v>
      </c>
      <c r="D22" s="137">
        <f>PASSIVA!D21</f>
        <v>0</v>
      </c>
      <c r="E22" s="137">
        <f>D22/D$59*100</f>
        <v>0</v>
      </c>
      <c r="F22" s="137">
        <f>PASSIVA!F21</f>
        <v>0</v>
      </c>
      <c r="G22" s="137">
        <f>F22/F$59*100</f>
        <v>0</v>
      </c>
      <c r="H22" s="25"/>
      <c r="I22" s="137" t="e">
        <f t="shared" ref="I22" si="8">(D22-B22)/B22*100</f>
        <v>#DIV/0!</v>
      </c>
      <c r="J22" s="137" t="e">
        <f t="shared" ref="J22" si="9">(F22-D22)/D22*100</f>
        <v>#DIV/0!</v>
      </c>
      <c r="K22" s="137">
        <f t="shared" ref="K22" si="10">D22-B22</f>
        <v>0</v>
      </c>
      <c r="L22" s="137">
        <f t="shared" ref="L22" si="11">F22-D22</f>
        <v>0</v>
      </c>
    </row>
    <row r="23" spans="1:12" ht="8.25" customHeight="1" x14ac:dyDescent="0.3">
      <c r="A23" s="25"/>
      <c r="B23" s="92"/>
      <c r="C23" s="92"/>
      <c r="D23" s="92"/>
      <c r="E23" s="92"/>
      <c r="F23" s="92"/>
      <c r="G23" s="92"/>
      <c r="I23" s="92"/>
      <c r="J23" s="92"/>
      <c r="K23" s="92"/>
      <c r="L23" s="92"/>
    </row>
    <row r="24" spans="1:12" s="10" customFormat="1" ht="15" customHeight="1" x14ac:dyDescent="0.3">
      <c r="A24" s="127" t="s">
        <v>245</v>
      </c>
      <c r="B24" s="127">
        <f>SUM(B26:B27)</f>
        <v>0</v>
      </c>
      <c r="C24" s="131">
        <f>B24/B$59*100</f>
        <v>0</v>
      </c>
      <c r="D24" s="131">
        <f>SUM(D26:D27)</f>
        <v>0</v>
      </c>
      <c r="E24" s="131">
        <f>D24/D$59*100</f>
        <v>0</v>
      </c>
      <c r="F24" s="131">
        <f>SUM(F26:F27)</f>
        <v>0</v>
      </c>
      <c r="G24" s="131">
        <f t="shared" ref="G24" si="12">F24/F$59*100</f>
        <v>0</v>
      </c>
      <c r="I24" s="131" t="e">
        <f t="shared" si="0"/>
        <v>#DIV/0!</v>
      </c>
      <c r="J24" s="131" t="e">
        <f t="shared" si="1"/>
        <v>#DIV/0!</v>
      </c>
      <c r="K24" s="131">
        <f>D24-B24</f>
        <v>0</v>
      </c>
      <c r="L24" s="131">
        <f>F24-D24</f>
        <v>0</v>
      </c>
    </row>
    <row r="25" spans="1:12" s="10" customFormat="1" ht="6.75" customHeight="1" x14ac:dyDescent="0.3">
      <c r="B25" s="106"/>
      <c r="C25" s="92"/>
      <c r="D25" s="106"/>
      <c r="E25" s="92"/>
      <c r="F25" s="106"/>
      <c r="G25" s="92"/>
      <c r="I25" s="92"/>
      <c r="J25" s="92"/>
      <c r="K25" s="92"/>
      <c r="L25" s="92"/>
    </row>
    <row r="26" spans="1:12" ht="15" customHeight="1" x14ac:dyDescent="0.3">
      <c r="A26" s="6" t="str">
        <f>PASSIVA!A25</f>
        <v>Voorzieningen</v>
      </c>
      <c r="B26" s="92">
        <f>PASSIVA!B25</f>
        <v>0</v>
      </c>
      <c r="C26" s="92">
        <f>B26/B$59*100</f>
        <v>0</v>
      </c>
      <c r="D26" s="92">
        <f>PASSIVA!D25</f>
        <v>0</v>
      </c>
      <c r="E26" s="92">
        <f>D26/D$59*100</f>
        <v>0</v>
      </c>
      <c r="F26" s="92">
        <f>PASSIVA!F25</f>
        <v>0</v>
      </c>
      <c r="G26" s="92">
        <f t="shared" ref="G26:G27" si="13">F26/F$59*100</f>
        <v>0</v>
      </c>
      <c r="I26" s="92" t="e">
        <f t="shared" si="0"/>
        <v>#DIV/0!</v>
      </c>
      <c r="J26" s="92" t="e">
        <f t="shared" si="1"/>
        <v>#DIV/0!</v>
      </c>
      <c r="K26" s="92">
        <f>D26-B26</f>
        <v>0</v>
      </c>
      <c r="L26" s="92">
        <f>F26-D26</f>
        <v>0</v>
      </c>
    </row>
    <row r="27" spans="1:12" ht="15" customHeight="1" x14ac:dyDescent="0.3">
      <c r="A27" s="6" t="str">
        <f>PASSIVA!A26</f>
        <v>Uitgestelde Belastingen</v>
      </c>
      <c r="B27" s="92">
        <f>PASSIVA!B26</f>
        <v>0</v>
      </c>
      <c r="C27" s="92">
        <f>B27/B$59*100</f>
        <v>0</v>
      </c>
      <c r="D27" s="92">
        <f>PASSIVA!D26</f>
        <v>0</v>
      </c>
      <c r="E27" s="92">
        <f>D27/D$59*100</f>
        <v>0</v>
      </c>
      <c r="F27" s="92">
        <f>PASSIVA!F26</f>
        <v>0</v>
      </c>
      <c r="G27" s="92">
        <f t="shared" si="13"/>
        <v>0</v>
      </c>
      <c r="I27" s="92" t="e">
        <f t="shared" si="0"/>
        <v>#DIV/0!</v>
      </c>
      <c r="J27" s="92" t="e">
        <f t="shared" si="1"/>
        <v>#DIV/0!</v>
      </c>
      <c r="K27" s="92">
        <f>D27-B27</f>
        <v>0</v>
      </c>
      <c r="L27" s="92">
        <f>F27-D27</f>
        <v>0</v>
      </c>
    </row>
    <row r="28" spans="1:12" ht="9" customHeight="1" x14ac:dyDescent="0.3">
      <c r="B28" s="9"/>
      <c r="C28" s="92"/>
      <c r="D28" s="9"/>
      <c r="E28" s="92"/>
      <c r="F28" s="9"/>
      <c r="G28" s="92"/>
      <c r="I28" s="92"/>
      <c r="J28" s="92"/>
      <c r="K28" s="92"/>
      <c r="L28" s="92"/>
    </row>
    <row r="29" spans="1:12" ht="15" customHeight="1" x14ac:dyDescent="0.3">
      <c r="A29" s="127" t="s">
        <v>19</v>
      </c>
      <c r="B29" s="127">
        <f>B31</f>
        <v>228120.77007192845</v>
      </c>
      <c r="C29" s="131">
        <f>B29/B$59*100</f>
        <v>48.144041048934739</v>
      </c>
      <c r="D29" s="131">
        <f>D31</f>
        <v>204628.05698991212</v>
      </c>
      <c r="E29" s="131">
        <f>D29/D$59*100</f>
        <v>41.137056382060621</v>
      </c>
      <c r="F29" s="131">
        <f>F31</f>
        <v>179933.41212022881</v>
      </c>
      <c r="G29" s="131">
        <f t="shared" ref="G29" si="14">F29/F$59*100</f>
        <v>33.835024736100998</v>
      </c>
      <c r="I29" s="131">
        <f t="shared" si="0"/>
        <v>-10.298366551458193</v>
      </c>
      <c r="J29" s="131">
        <f t="shared" si="1"/>
        <v>-12.068063995203122</v>
      </c>
      <c r="K29" s="131">
        <f>D29-B29</f>
        <v>-23492.713082016329</v>
      </c>
      <c r="L29" s="131">
        <f>F29-D29</f>
        <v>-24694.64486968331</v>
      </c>
    </row>
    <row r="30" spans="1:12" ht="7.5" customHeight="1" x14ac:dyDescent="0.3">
      <c r="A30" s="24"/>
      <c r="B30" s="107"/>
      <c r="C30" s="92"/>
      <c r="D30" s="107"/>
      <c r="E30" s="92"/>
      <c r="F30" s="107"/>
      <c r="G30" s="92"/>
      <c r="I30" s="9"/>
      <c r="J30" s="9"/>
      <c r="K30" s="9"/>
      <c r="L30" s="9"/>
    </row>
    <row r="31" spans="1:12" ht="15" customHeight="1" x14ac:dyDescent="0.3">
      <c r="A31" s="25" t="str">
        <f>PASSIVA!A30</f>
        <v>Financiële Schulden</v>
      </c>
      <c r="B31" s="92">
        <f>SUM(B32:B34)</f>
        <v>228120.77007192845</v>
      </c>
      <c r="C31" s="137">
        <f>B31/B$59*100</f>
        <v>48.144041048934739</v>
      </c>
      <c r="D31" s="137">
        <f>SUM(D32:D34)</f>
        <v>204628.05698991212</v>
      </c>
      <c r="E31" s="137">
        <f>D31/D$59*100</f>
        <v>41.137056382060621</v>
      </c>
      <c r="F31" s="137">
        <f>SUM(F32:F34)</f>
        <v>179933.41212022881</v>
      </c>
      <c r="G31" s="137">
        <f t="shared" ref="G31:G34" si="15">F31/F$59*100</f>
        <v>33.835024736100998</v>
      </c>
      <c r="H31" s="25"/>
      <c r="I31" s="137">
        <f t="shared" si="0"/>
        <v>-10.298366551458193</v>
      </c>
      <c r="J31" s="137">
        <f t="shared" si="1"/>
        <v>-12.068063995203122</v>
      </c>
      <c r="K31" s="137">
        <f>D31-B31</f>
        <v>-23492.713082016329</v>
      </c>
      <c r="L31" s="137">
        <f>F31-D31</f>
        <v>-24694.64486968331</v>
      </c>
    </row>
    <row r="32" spans="1:12" ht="15" customHeight="1" x14ac:dyDescent="0.3">
      <c r="A32" s="6" t="str">
        <f>PASSIVA!A31</f>
        <v>Achtergestelde Lening</v>
      </c>
      <c r="B32" s="9">
        <f>PASSIVA!B31</f>
        <v>0</v>
      </c>
      <c r="C32" s="9">
        <f>B32/B$59*100</f>
        <v>0</v>
      </c>
      <c r="D32" s="9">
        <f>PASSIVA!D31</f>
        <v>0</v>
      </c>
      <c r="E32" s="9">
        <f>D32/D$59*100</f>
        <v>0</v>
      </c>
      <c r="F32" s="9">
        <f>PASSIVA!F31</f>
        <v>0</v>
      </c>
      <c r="G32" s="9">
        <f t="shared" si="15"/>
        <v>0</v>
      </c>
      <c r="I32" s="9" t="e">
        <f t="shared" si="0"/>
        <v>#DIV/0!</v>
      </c>
      <c r="J32" s="9" t="e">
        <f t="shared" si="1"/>
        <v>#DIV/0!</v>
      </c>
      <c r="K32" s="9">
        <f t="shared" ref="K32:K34" si="16">D32-B32</f>
        <v>0</v>
      </c>
      <c r="L32" s="9">
        <f t="shared" ref="L32:L34" si="17">F32-D32</f>
        <v>0</v>
      </c>
    </row>
    <row r="33" spans="1:12" ht="15" customHeight="1" x14ac:dyDescent="0.3">
      <c r="A33" s="6" t="str">
        <f>PASSIVA!A32</f>
        <v>Lening Machines</v>
      </c>
      <c r="B33" s="9">
        <f>PASSIVA!B32</f>
        <v>228120.77007192845</v>
      </c>
      <c r="C33" s="9">
        <f>B33/B$59*100</f>
        <v>48.144041048934739</v>
      </c>
      <c r="D33" s="9">
        <f>PASSIVA!D32</f>
        <v>204628.05698991212</v>
      </c>
      <c r="E33" s="9">
        <f>D33/D$59*100</f>
        <v>41.137056382060621</v>
      </c>
      <c r="F33" s="9">
        <f>PASSIVA!F32</f>
        <v>179933.41212022881</v>
      </c>
      <c r="G33" s="9">
        <f t="shared" si="15"/>
        <v>33.835024736100998</v>
      </c>
      <c r="I33" s="9">
        <f t="shared" si="0"/>
        <v>-10.298366551458193</v>
      </c>
      <c r="J33" s="9">
        <f t="shared" si="1"/>
        <v>-12.068063995203122</v>
      </c>
      <c r="K33" s="9">
        <f t="shared" si="16"/>
        <v>-23492.713082016329</v>
      </c>
      <c r="L33" s="9">
        <f t="shared" si="17"/>
        <v>-24694.64486968331</v>
      </c>
    </row>
    <row r="34" spans="1:12" ht="15" customHeight="1" x14ac:dyDescent="0.3">
      <c r="A34" s="6" t="str">
        <f>PASSIVA!A33</f>
        <v>Overige</v>
      </c>
      <c r="B34" s="9">
        <f>PASSIVA!B33</f>
        <v>0</v>
      </c>
      <c r="C34" s="9">
        <f>B34/B$59*100</f>
        <v>0</v>
      </c>
      <c r="D34" s="9">
        <f>PASSIVA!D33</f>
        <v>0</v>
      </c>
      <c r="E34" s="9">
        <f>D34/D$59*100</f>
        <v>0</v>
      </c>
      <c r="F34" s="9">
        <f>PASSIVA!F33</f>
        <v>0</v>
      </c>
      <c r="G34" s="9">
        <f t="shared" si="15"/>
        <v>0</v>
      </c>
      <c r="I34" s="9" t="e">
        <f t="shared" si="0"/>
        <v>#DIV/0!</v>
      </c>
      <c r="J34" s="9" t="e">
        <f t="shared" si="1"/>
        <v>#DIV/0!</v>
      </c>
      <c r="K34" s="9">
        <f t="shared" si="16"/>
        <v>0</v>
      </c>
      <c r="L34" s="9">
        <f t="shared" si="17"/>
        <v>0</v>
      </c>
    </row>
    <row r="35" spans="1:12" ht="9" customHeight="1" x14ac:dyDescent="0.3">
      <c r="B35" s="9"/>
      <c r="C35" s="92"/>
      <c r="D35" s="9"/>
      <c r="E35" s="92"/>
      <c r="F35" s="9"/>
      <c r="G35" s="92"/>
      <c r="I35" s="9"/>
      <c r="J35" s="9"/>
      <c r="K35" s="9"/>
      <c r="L35" s="9"/>
    </row>
    <row r="36" spans="1:12" ht="15" customHeight="1" x14ac:dyDescent="0.3">
      <c r="A36" s="127" t="s">
        <v>21</v>
      </c>
      <c r="B36" s="127">
        <f>B38+B46+B49+B54+B57+B42</f>
        <v>108759.16596023149</v>
      </c>
      <c r="C36" s="131">
        <f>B36/B$59*100</f>
        <v>22.953217932704248</v>
      </c>
      <c r="D36" s="131">
        <f>D38+D46+D49+D54+D57+D42</f>
        <v>112200.58187699417</v>
      </c>
      <c r="E36" s="131">
        <f>D36/D$59*100</f>
        <v>22.556054778946862</v>
      </c>
      <c r="F36" s="131">
        <f>F38+F46+F49+F54+F57+F42</f>
        <v>119629.73482609174</v>
      </c>
      <c r="G36" s="131">
        <f t="shared" ref="G36" si="18">F36/F$59*100</f>
        <v>22.495405324217501</v>
      </c>
      <c r="I36" s="135">
        <f t="shared" si="0"/>
        <v>3.1642536850834762</v>
      </c>
      <c r="J36" s="135">
        <f t="shared" si="1"/>
        <v>6.6213141008860079</v>
      </c>
      <c r="K36" s="135">
        <f>D36-B36</f>
        <v>3441.4159167626785</v>
      </c>
      <c r="L36" s="135">
        <f>F36-D36</f>
        <v>7429.1529490975663</v>
      </c>
    </row>
    <row r="37" spans="1:12" ht="9.75" customHeight="1" x14ac:dyDescent="0.3">
      <c r="A37" s="24"/>
      <c r="B37" s="107"/>
      <c r="C37" s="92"/>
      <c r="D37" s="107"/>
      <c r="E37" s="92"/>
      <c r="F37" s="107"/>
      <c r="G37" s="92"/>
      <c r="I37" s="9"/>
      <c r="J37" s="9"/>
      <c r="K37" s="9"/>
      <c r="L37" s="9"/>
    </row>
    <row r="38" spans="1:12" ht="15" customHeight="1" x14ac:dyDescent="0.3">
      <c r="A38" s="25" t="str">
        <f>PASSIVA!A37</f>
        <v>Schulden + 1 jaar die binnen het jaar vervallen</v>
      </c>
      <c r="B38" s="92">
        <f>SUM(B39:B43)</f>
        <v>22349.281427873371</v>
      </c>
      <c r="C38" s="137">
        <f>B38/B$59*100</f>
        <v>4.7167328171760206</v>
      </c>
      <c r="D38" s="137">
        <f>SUM(D39:D43)</f>
        <v>23492.713082016344</v>
      </c>
      <c r="E38" s="137">
        <f>D38/D$59*100</f>
        <v>4.7228179597586797</v>
      </c>
      <c r="F38" s="137">
        <f>SUM(F39:F43)</f>
        <v>24694.644869683325</v>
      </c>
      <c r="G38" s="137">
        <f t="shared" ref="G38:G40" si="19">F38/F$59*100</f>
        <v>4.6436284966166648</v>
      </c>
      <c r="H38" s="25"/>
      <c r="I38" s="137">
        <f t="shared" si="0"/>
        <v>5.1161897881733145</v>
      </c>
      <c r="J38" s="137">
        <f t="shared" si="1"/>
        <v>5.116189788173334</v>
      </c>
      <c r="K38" s="137">
        <f>D38-B38</f>
        <v>1143.4316541429725</v>
      </c>
      <c r="L38" s="137">
        <f>F38-D38</f>
        <v>1201.9317876669811</v>
      </c>
    </row>
    <row r="39" spans="1:12" ht="15" customHeight="1" x14ac:dyDescent="0.3">
      <c r="A39" s="6" t="str">
        <f>PASSIVA!A38</f>
        <v>Lening Machines</v>
      </c>
      <c r="B39" s="9">
        <f>PASSIVA!B38</f>
        <v>22349.281427873371</v>
      </c>
      <c r="C39" s="9">
        <f>B39/B$59*100</f>
        <v>4.7167328171760206</v>
      </c>
      <c r="D39" s="9">
        <f>PASSIVA!D38</f>
        <v>23492.713082016344</v>
      </c>
      <c r="E39" s="9">
        <f>D39/D$59*100</f>
        <v>4.7228179597586797</v>
      </c>
      <c r="F39" s="9">
        <f>PASSIVA!F38</f>
        <v>24694.644869683325</v>
      </c>
      <c r="G39" s="9">
        <f t="shared" si="19"/>
        <v>4.6436284966166648</v>
      </c>
      <c r="I39" s="9">
        <f t="shared" si="0"/>
        <v>5.1161897881733145</v>
      </c>
      <c r="J39" s="9">
        <f t="shared" si="1"/>
        <v>5.116189788173334</v>
      </c>
      <c r="K39" s="9">
        <f t="shared" ref="K39:K57" si="20">D39-B39</f>
        <v>1143.4316541429725</v>
      </c>
      <c r="L39" s="9">
        <f t="shared" ref="L39:L57" si="21">F39-D39</f>
        <v>1201.9317876669811</v>
      </c>
    </row>
    <row r="40" spans="1:12" ht="15" customHeight="1" x14ac:dyDescent="0.3">
      <c r="A40" s="6" t="str">
        <f>PASSIVA!A39</f>
        <v>Overige</v>
      </c>
      <c r="B40" s="9">
        <f>PASSIVA!B39</f>
        <v>0</v>
      </c>
      <c r="C40" s="9">
        <f>B40/B$59*100</f>
        <v>0</v>
      </c>
      <c r="D40" s="9">
        <f>PASSIVA!D39</f>
        <v>0</v>
      </c>
      <c r="E40" s="9">
        <f>D40/D$59*100</f>
        <v>0</v>
      </c>
      <c r="F40" s="9">
        <f>PASSIVA!F39</f>
        <v>0</v>
      </c>
      <c r="G40" s="9">
        <f t="shared" si="19"/>
        <v>0</v>
      </c>
      <c r="I40" s="9" t="e">
        <f t="shared" si="0"/>
        <v>#DIV/0!</v>
      </c>
      <c r="J40" s="9" t="e">
        <f t="shared" si="1"/>
        <v>#DIV/0!</v>
      </c>
      <c r="K40" s="9">
        <f t="shared" si="20"/>
        <v>0</v>
      </c>
      <c r="L40" s="9">
        <f t="shared" si="21"/>
        <v>0</v>
      </c>
    </row>
    <row r="41" spans="1:12" ht="6.75" customHeight="1" x14ac:dyDescent="0.3">
      <c r="B41" s="9"/>
      <c r="C41" s="9"/>
      <c r="D41" s="9"/>
      <c r="E41" s="9"/>
      <c r="F41" s="9"/>
      <c r="G41" s="9"/>
      <c r="I41" s="9"/>
      <c r="J41" s="9"/>
      <c r="K41" s="9"/>
      <c r="L41" s="9"/>
    </row>
    <row r="42" spans="1:12" ht="15" customHeight="1" x14ac:dyDescent="0.3">
      <c r="A42" s="25" t="str">
        <f>PASSIVA!A41</f>
        <v>Financiële Schulden</v>
      </c>
      <c r="B42" s="92">
        <f>B43+B44</f>
        <v>0</v>
      </c>
      <c r="C42" s="138">
        <f>B42/B$59*100</f>
        <v>0</v>
      </c>
      <c r="D42" s="137">
        <f>D43+D44</f>
        <v>0</v>
      </c>
      <c r="E42" s="138">
        <f>D42/D$59*100</f>
        <v>0</v>
      </c>
      <c r="F42" s="137">
        <f>F43+F44</f>
        <v>0</v>
      </c>
      <c r="G42" s="138">
        <f t="shared" ref="G42:G44" si="22">F42/F$59*100</f>
        <v>0</v>
      </c>
      <c r="H42" s="25"/>
      <c r="I42" s="138" t="e">
        <f t="shared" ref="I42" si="23">(D42-B42)/B42*100</f>
        <v>#DIV/0!</v>
      </c>
      <c r="J42" s="138" t="e">
        <f t="shared" ref="J42" si="24">(F42-D42)/D42*100</f>
        <v>#DIV/0!</v>
      </c>
      <c r="K42" s="138">
        <f t="shared" ref="K42" si="25">D42-B42</f>
        <v>0</v>
      </c>
      <c r="L42" s="138">
        <f t="shared" ref="L42" si="26">F42-D42</f>
        <v>0</v>
      </c>
    </row>
    <row r="43" spans="1:12" ht="15" customHeight="1" x14ac:dyDescent="0.3">
      <c r="A43" s="6" t="str">
        <f>PASSIVA!A42</f>
        <v>Kredietinstellingen R/C</v>
      </c>
      <c r="B43" s="9">
        <f>PASSIVA!B42</f>
        <v>0</v>
      </c>
      <c r="C43" s="9">
        <f>B43/B$59*100</f>
        <v>0</v>
      </c>
      <c r="D43" s="9">
        <f>PASSIVA!D42</f>
        <v>0</v>
      </c>
      <c r="E43" s="9">
        <f>D43/D$59*100</f>
        <v>0</v>
      </c>
      <c r="F43" s="9">
        <f>PASSIVA!F42</f>
        <v>0</v>
      </c>
      <c r="G43" s="9">
        <f t="shared" si="22"/>
        <v>0</v>
      </c>
      <c r="I43" s="9" t="e">
        <f t="shared" si="0"/>
        <v>#DIV/0!</v>
      </c>
      <c r="J43" s="9" t="e">
        <f t="shared" si="1"/>
        <v>#DIV/0!</v>
      </c>
      <c r="K43" s="9">
        <f t="shared" si="20"/>
        <v>0</v>
      </c>
      <c r="L43" s="9">
        <f t="shared" si="21"/>
        <v>0</v>
      </c>
    </row>
    <row r="44" spans="1:12" ht="15" customHeight="1" x14ac:dyDescent="0.3">
      <c r="A44" s="6" t="str">
        <f>PASSIVA!A43</f>
        <v>Overige</v>
      </c>
      <c r="B44" s="9">
        <f>PASSIVA!B43</f>
        <v>0</v>
      </c>
      <c r="C44" s="9">
        <f>B44/B$59*100</f>
        <v>0</v>
      </c>
      <c r="D44" s="9">
        <f>PASSIVA!D43</f>
        <v>0</v>
      </c>
      <c r="E44" s="9">
        <f>D44/D$59*100</f>
        <v>0</v>
      </c>
      <c r="F44" s="9">
        <f>PASSIVA!F43</f>
        <v>0</v>
      </c>
      <c r="G44" s="9">
        <f t="shared" si="22"/>
        <v>0</v>
      </c>
      <c r="I44" s="9" t="e">
        <f t="shared" si="0"/>
        <v>#DIV/0!</v>
      </c>
      <c r="J44" s="9" t="e">
        <f t="shared" si="1"/>
        <v>#DIV/0!</v>
      </c>
      <c r="K44" s="9">
        <f t="shared" si="20"/>
        <v>0</v>
      </c>
      <c r="L44" s="9">
        <f t="shared" si="21"/>
        <v>0</v>
      </c>
    </row>
    <row r="45" spans="1:12" ht="6.75" customHeight="1" x14ac:dyDescent="0.3">
      <c r="B45" s="9"/>
      <c r="C45" s="92"/>
      <c r="D45" s="9"/>
      <c r="E45" s="92"/>
      <c r="F45" s="9"/>
      <c r="G45" s="92"/>
      <c r="I45" s="9"/>
      <c r="J45" s="9"/>
      <c r="K45" s="92"/>
      <c r="L45" s="92"/>
    </row>
    <row r="46" spans="1:12" ht="15" customHeight="1" x14ac:dyDescent="0.3">
      <c r="A46" s="25" t="str">
        <f>PASSIVA!A45</f>
        <v>Handelsschulden</v>
      </c>
      <c r="B46" s="92">
        <f>B47</f>
        <v>69750</v>
      </c>
      <c r="C46" s="137">
        <f>B46/B$59*100</f>
        <v>14.720478376889472</v>
      </c>
      <c r="D46" s="137">
        <f>D47</f>
        <v>73237.5</v>
      </c>
      <c r="E46" s="137">
        <f>D46/D$59*100</f>
        <v>14.723177315463101</v>
      </c>
      <c r="F46" s="137">
        <f>F47</f>
        <v>76899.375</v>
      </c>
      <c r="G46" s="137">
        <f t="shared" ref="G46:G47" si="27">F46/F$59*100</f>
        <v>14.460306313633186</v>
      </c>
      <c r="H46" s="25"/>
      <c r="I46" s="137">
        <f t="shared" si="0"/>
        <v>5</v>
      </c>
      <c r="J46" s="137">
        <f t="shared" si="1"/>
        <v>5</v>
      </c>
      <c r="K46" s="137">
        <f t="shared" si="20"/>
        <v>3487.5</v>
      </c>
      <c r="L46" s="137">
        <f t="shared" si="21"/>
        <v>3661.875</v>
      </c>
    </row>
    <row r="47" spans="1:12" ht="15" customHeight="1" x14ac:dyDescent="0.3">
      <c r="A47" s="6" t="str">
        <f>PASSIVA!A46</f>
        <v>Leveranciers</v>
      </c>
      <c r="B47" s="9">
        <f>PASSIVA!B46</f>
        <v>69750</v>
      </c>
      <c r="C47" s="9">
        <f>B47/B$59*100</f>
        <v>14.720478376889472</v>
      </c>
      <c r="D47" s="9">
        <f>PASSIVA!D46</f>
        <v>73237.5</v>
      </c>
      <c r="E47" s="9">
        <f>D47/D$59*100</f>
        <v>14.723177315463101</v>
      </c>
      <c r="F47" s="9">
        <f>PASSIVA!F46</f>
        <v>76899.375</v>
      </c>
      <c r="G47" s="9">
        <f t="shared" si="27"/>
        <v>14.460306313633186</v>
      </c>
      <c r="I47" s="9">
        <f t="shared" si="0"/>
        <v>5</v>
      </c>
      <c r="J47" s="9">
        <f t="shared" si="1"/>
        <v>5</v>
      </c>
      <c r="K47" s="9">
        <f t="shared" si="20"/>
        <v>3487.5</v>
      </c>
      <c r="L47" s="9">
        <f t="shared" si="21"/>
        <v>3661.875</v>
      </c>
    </row>
    <row r="48" spans="1:12" ht="6" customHeight="1" x14ac:dyDescent="0.3">
      <c r="B48" s="9"/>
      <c r="C48" s="92"/>
      <c r="D48" s="9"/>
      <c r="E48" s="92"/>
      <c r="F48" s="9"/>
      <c r="G48" s="92"/>
      <c r="I48" s="9"/>
      <c r="J48" s="9"/>
      <c r="K48" s="92"/>
      <c r="L48" s="92"/>
    </row>
    <row r="49" spans="1:12" ht="15" customHeight="1" x14ac:dyDescent="0.3">
      <c r="A49" s="25" t="str">
        <f>PASSIVA!A48</f>
        <v>Belastingen en Sociale Schulden</v>
      </c>
      <c r="B49" s="92">
        <f>SUM(B50:B52)</f>
        <v>15649.924647278269</v>
      </c>
      <c r="C49" s="137">
        <f>B49/B$59*100</f>
        <v>3.3028584569205641</v>
      </c>
      <c r="D49" s="137">
        <f>SUM(D50:D52)</f>
        <v>14550.526980171671</v>
      </c>
      <c r="E49" s="137">
        <f>D49/D$59*100</f>
        <v>2.9251406555725876</v>
      </c>
      <c r="F49" s="137">
        <f>SUM(F50:F52)</f>
        <v>17210.601823384572</v>
      </c>
      <c r="G49" s="137">
        <f t="shared" ref="G49:G52" si="28">F49/F$59*100</f>
        <v>3.2363146541583045</v>
      </c>
      <c r="H49" s="25"/>
      <c r="I49" s="137">
        <f t="shared" si="0"/>
        <v>-7.024939045299476</v>
      </c>
      <c r="J49" s="137">
        <f t="shared" si="1"/>
        <v>18.281639193122309</v>
      </c>
      <c r="K49" s="137">
        <f t="shared" si="20"/>
        <v>-1099.3976671065975</v>
      </c>
      <c r="L49" s="137">
        <f t="shared" si="21"/>
        <v>2660.0748432129003</v>
      </c>
    </row>
    <row r="50" spans="1:12" ht="15" customHeight="1" x14ac:dyDescent="0.3">
      <c r="A50" s="6" t="str">
        <f>PASSIVA!A49</f>
        <v>Belastingen</v>
      </c>
      <c r="B50" s="9">
        <f>PASSIVA!B49</f>
        <v>15649.924647278269</v>
      </c>
      <c r="C50" s="9">
        <f>B50/B$59*100</f>
        <v>3.3028584569205641</v>
      </c>
      <c r="D50" s="9">
        <f>PASSIVA!D49</f>
        <v>14550.526980171671</v>
      </c>
      <c r="E50" s="9">
        <f>D50/D$59*100</f>
        <v>2.9251406555725876</v>
      </c>
      <c r="F50" s="9">
        <f>PASSIVA!F49</f>
        <v>17210.601823384572</v>
      </c>
      <c r="G50" s="9">
        <f t="shared" si="28"/>
        <v>3.2363146541583045</v>
      </c>
      <c r="I50" s="9">
        <f t="shared" si="0"/>
        <v>-7.024939045299476</v>
      </c>
      <c r="J50" s="9">
        <f t="shared" si="1"/>
        <v>18.281639193122309</v>
      </c>
      <c r="K50" s="9">
        <f t="shared" si="20"/>
        <v>-1099.3976671065975</v>
      </c>
      <c r="L50" s="9">
        <f t="shared" si="21"/>
        <v>2660.0748432129003</v>
      </c>
    </row>
    <row r="51" spans="1:12" ht="15" customHeight="1" x14ac:dyDescent="0.3">
      <c r="A51" s="6" t="str">
        <f>PASSIVA!A50</f>
        <v>BTW</v>
      </c>
      <c r="B51" s="9">
        <f>PASSIVA!B50</f>
        <v>0</v>
      </c>
      <c r="C51" s="9">
        <f>B51/B$59*100</f>
        <v>0</v>
      </c>
      <c r="D51" s="9">
        <f>PASSIVA!D50</f>
        <v>0</v>
      </c>
      <c r="E51" s="9">
        <f>D51/D$59*100</f>
        <v>0</v>
      </c>
      <c r="F51" s="9">
        <f>PASSIVA!F50</f>
        <v>0</v>
      </c>
      <c r="G51" s="9">
        <f t="shared" si="28"/>
        <v>0</v>
      </c>
      <c r="I51" s="9" t="e">
        <f t="shared" si="0"/>
        <v>#DIV/0!</v>
      </c>
      <c r="J51" s="9" t="e">
        <f t="shared" si="1"/>
        <v>#DIV/0!</v>
      </c>
      <c r="K51" s="9">
        <f t="shared" si="20"/>
        <v>0</v>
      </c>
      <c r="L51" s="9">
        <f t="shared" si="21"/>
        <v>0</v>
      </c>
    </row>
    <row r="52" spans="1:12" ht="15" customHeight="1" x14ac:dyDescent="0.3">
      <c r="A52" s="6" t="str">
        <f>PASSIVA!A51</f>
        <v>Bezoldigingen en Sociale lasten</v>
      </c>
      <c r="B52" s="9">
        <f>PASSIVA!B51</f>
        <v>0</v>
      </c>
      <c r="C52" s="9">
        <f>B52/B$59*100</f>
        <v>0</v>
      </c>
      <c r="D52" s="9">
        <f>PASSIVA!D51</f>
        <v>0</v>
      </c>
      <c r="E52" s="9">
        <f>D52/D$59*100</f>
        <v>0</v>
      </c>
      <c r="F52" s="9">
        <f>PASSIVA!F51</f>
        <v>0</v>
      </c>
      <c r="G52" s="9">
        <f t="shared" si="28"/>
        <v>0</v>
      </c>
      <c r="I52" s="9" t="e">
        <f t="shared" si="0"/>
        <v>#DIV/0!</v>
      </c>
      <c r="J52" s="9" t="e">
        <f t="shared" si="1"/>
        <v>#DIV/0!</v>
      </c>
      <c r="K52" s="9">
        <f t="shared" si="20"/>
        <v>0</v>
      </c>
      <c r="L52" s="9">
        <f t="shared" si="21"/>
        <v>0</v>
      </c>
    </row>
    <row r="53" spans="1:12" ht="6" customHeight="1" x14ac:dyDescent="0.3">
      <c r="B53" s="9"/>
      <c r="C53" s="92"/>
      <c r="D53" s="9"/>
      <c r="E53" s="92"/>
      <c r="F53" s="9"/>
      <c r="G53" s="92"/>
      <c r="I53" s="9"/>
      <c r="J53" s="9"/>
      <c r="K53" s="92"/>
      <c r="L53" s="92"/>
    </row>
    <row r="54" spans="1:12" ht="15" customHeight="1" x14ac:dyDescent="0.3">
      <c r="A54" s="25" t="str">
        <f>PASSIVA!A53</f>
        <v>Overige</v>
      </c>
      <c r="B54" s="92">
        <f>B55</f>
        <v>0</v>
      </c>
      <c r="C54" s="137">
        <f>B54/B$59*100</f>
        <v>0</v>
      </c>
      <c r="D54" s="137">
        <f>D55</f>
        <v>0</v>
      </c>
      <c r="E54" s="137">
        <f>D54/D$59*100</f>
        <v>0</v>
      </c>
      <c r="F54" s="137">
        <f>F55</f>
        <v>0</v>
      </c>
      <c r="G54" s="137">
        <f t="shared" ref="G54:G55" si="29">F54/F$59*100</f>
        <v>0</v>
      </c>
      <c r="H54" s="25"/>
      <c r="I54" s="137" t="e">
        <f t="shared" si="0"/>
        <v>#DIV/0!</v>
      </c>
      <c r="J54" s="137" t="e">
        <f t="shared" si="1"/>
        <v>#DIV/0!</v>
      </c>
      <c r="K54" s="137">
        <f t="shared" si="20"/>
        <v>0</v>
      </c>
      <c r="L54" s="137">
        <f t="shared" si="21"/>
        <v>0</v>
      </c>
    </row>
    <row r="55" spans="1:12" ht="15" customHeight="1" x14ac:dyDescent="0.3">
      <c r="A55" s="6" t="str">
        <f>PASSIVA!A54</f>
        <v>Overige schulden</v>
      </c>
      <c r="B55" s="9">
        <f>PASSIVA!B54</f>
        <v>0</v>
      </c>
      <c r="C55" s="9">
        <f>B55/B$59*100</f>
        <v>0</v>
      </c>
      <c r="D55" s="9">
        <f>PASSIVA!D54</f>
        <v>0</v>
      </c>
      <c r="E55" s="9">
        <f>D55/D$59*100</f>
        <v>0</v>
      </c>
      <c r="F55" s="9">
        <f>PASSIVA!F54</f>
        <v>0</v>
      </c>
      <c r="G55" s="9">
        <f t="shared" si="29"/>
        <v>0</v>
      </c>
      <c r="I55" s="9" t="e">
        <f t="shared" si="0"/>
        <v>#DIV/0!</v>
      </c>
      <c r="J55" s="9" t="e">
        <f t="shared" si="1"/>
        <v>#DIV/0!</v>
      </c>
      <c r="K55" s="9">
        <f t="shared" si="20"/>
        <v>0</v>
      </c>
      <c r="L55" s="9">
        <f t="shared" si="21"/>
        <v>0</v>
      </c>
    </row>
    <row r="56" spans="1:12" ht="5.25" customHeight="1" x14ac:dyDescent="0.3">
      <c r="B56" s="9"/>
      <c r="C56" s="92"/>
      <c r="D56" s="9"/>
      <c r="E56" s="92"/>
      <c r="F56" s="9"/>
      <c r="G56" s="92"/>
      <c r="I56" s="9"/>
      <c r="J56" s="9"/>
      <c r="K56" s="92"/>
      <c r="L56" s="92"/>
    </row>
    <row r="57" spans="1:12" ht="15" customHeight="1" x14ac:dyDescent="0.3">
      <c r="A57" s="25" t="str">
        <f>PASSIVA!A56</f>
        <v>Overlopende Rekeningen</v>
      </c>
      <c r="B57" s="92">
        <f>PASSIVA!B56</f>
        <v>1009.9598850798457</v>
      </c>
      <c r="C57" s="137">
        <f>B57/B$59*100</f>
        <v>0.21314828171818848</v>
      </c>
      <c r="D57" s="137">
        <f>PASSIVA!D56</f>
        <v>919.84181480616314</v>
      </c>
      <c r="E57" s="137">
        <f>D57/D$59*100</f>
        <v>0.18491884815249718</v>
      </c>
      <c r="F57" s="137">
        <f>PASSIVA!F56</f>
        <v>825.11313302383894</v>
      </c>
      <c r="G57" s="137">
        <f t="shared" ref="G57" si="30">F57/F$59*100</f>
        <v>0.15515585980934538</v>
      </c>
      <c r="H57" s="25"/>
      <c r="I57" s="137">
        <f t="shared" si="0"/>
        <v>-8.9229356140771809</v>
      </c>
      <c r="J57" s="137">
        <f t="shared" si="1"/>
        <v>-10.298366551458225</v>
      </c>
      <c r="K57" s="137">
        <f t="shared" si="20"/>
        <v>-90.11807027368252</v>
      </c>
      <c r="L57" s="137">
        <f t="shared" si="21"/>
        <v>-94.728681782324202</v>
      </c>
    </row>
    <row r="58" spans="1:12" ht="6" customHeight="1" x14ac:dyDescent="0.3">
      <c r="B58" s="9"/>
      <c r="C58" s="9"/>
      <c r="D58" s="9"/>
      <c r="E58" s="9"/>
      <c r="F58" s="9"/>
      <c r="G58" s="9"/>
      <c r="I58" s="9"/>
      <c r="J58" s="9"/>
      <c r="K58" s="9"/>
      <c r="L58" s="9"/>
    </row>
    <row r="59" spans="1:12" ht="15" customHeight="1" x14ac:dyDescent="0.3">
      <c r="A59" s="134" t="s">
        <v>26</v>
      </c>
      <c r="B59" s="127">
        <f>B36+B29+B7</f>
        <v>473829.70997399476</v>
      </c>
      <c r="C59" s="127">
        <v>100</v>
      </c>
      <c r="D59" s="127">
        <f>D36+D29+D7</f>
        <v>497429.99374925613</v>
      </c>
      <c r="E59" s="127">
        <v>100</v>
      </c>
      <c r="F59" s="127">
        <f>F36+F29+F7+F24</f>
        <v>531796.30729882407</v>
      </c>
      <c r="G59" s="127">
        <v>100</v>
      </c>
      <c r="I59" s="134">
        <f t="shared" si="0"/>
        <v>4.9807522150851682</v>
      </c>
      <c r="J59" s="134">
        <f t="shared" si="1"/>
        <v>6.9087738940992116</v>
      </c>
      <c r="K59" s="134">
        <f>D59-B59</f>
        <v>23600.28377526137</v>
      </c>
      <c r="L59" s="134">
        <f>F59-D59</f>
        <v>34366.313549567945</v>
      </c>
    </row>
    <row r="61" spans="1:12" x14ac:dyDescent="0.3">
      <c r="F61" s="2">
        <f>F59-PASSIVA!F58</f>
        <v>0</v>
      </c>
    </row>
  </sheetData>
  <sheetProtection algorithmName="SHA-512" hashValue="vGHYI690B5C4zC86DtDTmJflJJxNyHhLT0qLxap303G1Qxbzh/ngGQHGxjXWIF0crprLhN+LYLEJ/aS9w35Prw==" saltValue="6FjMion+WN77FtG0SchdzQ==" spinCount="100000" sheet="1" objects="1" scenarios="1" selectLockedCells="1" selectUnlockedCells="1"/>
  <mergeCells count="4">
    <mergeCell ref="I5:J5"/>
    <mergeCell ref="K5:L5"/>
    <mergeCell ref="C4:G4"/>
    <mergeCell ref="I4:L4"/>
  </mergeCells>
  <pageMargins left="0.70866141732283472" right="0.70866141732283472" top="0.74803149606299213" bottom="0.74803149606299213" header="0.31496062992125984" footer="0.31496062992125984"/>
  <pageSetup paperSize="9" scale="6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75"/>
  <sheetViews>
    <sheetView topLeftCell="A67" zoomScale="172" zoomScaleNormal="172" workbookViewId="0">
      <selection activeCell="B14" sqref="B14"/>
    </sheetView>
  </sheetViews>
  <sheetFormatPr defaultColWidth="9.21875" defaultRowHeight="13.8" x14ac:dyDescent="0.3"/>
  <cols>
    <col min="1" max="1" width="36.44140625" style="6" customWidth="1"/>
    <col min="2" max="2" width="15.77734375" style="6" customWidth="1"/>
    <col min="3" max="3" width="10" style="6" bestFit="1" customWidth="1"/>
    <col min="4" max="4" width="15.77734375" style="6" customWidth="1"/>
    <col min="5" max="5" width="7" style="2" hidden="1" customWidth="1"/>
    <col min="6" max="6" width="5.77734375" style="6" hidden="1" customWidth="1"/>
    <col min="7" max="8" width="9.21875" style="2" hidden="1" customWidth="1"/>
    <col min="9" max="9" width="9.21875" style="2" customWidth="1"/>
    <col min="10" max="10" width="9.21875" style="6" hidden="1" customWidth="1"/>
    <col min="11" max="11" width="11.77734375" style="6" hidden="1" customWidth="1"/>
    <col min="12" max="12" width="14.44140625" style="6" hidden="1" customWidth="1"/>
    <col min="13" max="13" width="11.21875" style="6" hidden="1" customWidth="1"/>
    <col min="14" max="14" width="12.21875" style="6" hidden="1" customWidth="1"/>
    <col min="15" max="16" width="11.5546875" style="6" hidden="1" customWidth="1"/>
    <col min="17" max="18" width="9.88671875" style="6" bestFit="1" customWidth="1"/>
    <col min="19" max="16384" width="9.21875" style="6"/>
  </cols>
  <sheetData>
    <row r="1" spans="1:16" ht="15.6" x14ac:dyDescent="0.3">
      <c r="A1" s="104" t="str">
        <f>PASSIVA!A1</f>
        <v>VDO</v>
      </c>
      <c r="K1" s="249"/>
      <c r="L1" s="6" t="s">
        <v>449</v>
      </c>
    </row>
    <row r="2" spans="1:16" ht="14.4" x14ac:dyDescent="0.3">
      <c r="A2" s="111" t="s">
        <v>31</v>
      </c>
      <c r="K2" s="254"/>
      <c r="L2" s="6" t="s">
        <v>448</v>
      </c>
    </row>
    <row r="3" spans="1:16" x14ac:dyDescent="0.3">
      <c r="A3" s="10"/>
    </row>
    <row r="4" spans="1:16" s="16" customFormat="1" ht="14.4" customHeight="1" x14ac:dyDescent="0.3">
      <c r="A4" s="328" t="s">
        <v>32</v>
      </c>
      <c r="B4" s="105" t="str">
        <f>PASSIVA!B4</f>
        <v>Jaar 1</v>
      </c>
      <c r="C4" s="105" t="str">
        <f>ACTIVA!D4</f>
        <v>Jaar 2</v>
      </c>
      <c r="D4" s="330" t="str">
        <f>ACTIVA!F4</f>
        <v>Jaar 3</v>
      </c>
      <c r="E4" s="330"/>
      <c r="G4" s="331" t="s">
        <v>140</v>
      </c>
      <c r="H4" s="332"/>
      <c r="I4" s="199"/>
      <c r="K4" s="322" t="s">
        <v>301</v>
      </c>
      <c r="L4" s="323"/>
      <c r="M4" s="322" t="s">
        <v>302</v>
      </c>
      <c r="N4" s="323"/>
      <c r="O4" s="322" t="s">
        <v>303</v>
      </c>
      <c r="P4" s="323"/>
    </row>
    <row r="5" spans="1:16" x14ac:dyDescent="0.3">
      <c r="A5" s="329"/>
      <c r="B5" s="131">
        <f>B8+B12+B15</f>
        <v>945000</v>
      </c>
      <c r="C5" s="133">
        <f>C8+C12+C15</f>
        <v>976500</v>
      </c>
      <c r="D5" s="131">
        <f>D8+D12+D15</f>
        <v>1025325</v>
      </c>
      <c r="E5" s="29"/>
      <c r="G5" s="29">
        <f>(C5-B5)/B5*100</f>
        <v>3.3333333333333335</v>
      </c>
      <c r="H5" s="45">
        <f>(D5-C5)/C5*100</f>
        <v>5</v>
      </c>
      <c r="I5" s="198"/>
      <c r="K5" s="176">
        <v>411</v>
      </c>
      <c r="L5" s="176">
        <v>451</v>
      </c>
      <c r="M5" s="176">
        <v>411</v>
      </c>
      <c r="N5" s="176">
        <v>451</v>
      </c>
      <c r="O5" s="176">
        <v>411</v>
      </c>
      <c r="P5" s="176">
        <v>451</v>
      </c>
    </row>
    <row r="6" spans="1:16" ht="7.5" customHeight="1" x14ac:dyDescent="0.3">
      <c r="B6" s="9"/>
      <c r="C6" s="7"/>
      <c r="D6" s="7"/>
      <c r="E6" s="26"/>
      <c r="G6" s="43"/>
      <c r="H6" s="47"/>
      <c r="I6" s="5"/>
      <c r="K6" s="9"/>
      <c r="L6" s="9"/>
      <c r="M6" s="9"/>
      <c r="N6" s="9"/>
      <c r="O6" s="9"/>
      <c r="P6" s="9"/>
    </row>
    <row r="7" spans="1:16" s="5" customFormat="1" ht="15.75" customHeight="1" x14ac:dyDescent="0.3">
      <c r="A7" s="25" t="s">
        <v>215</v>
      </c>
      <c r="B7" s="92">
        <f>B8+B12</f>
        <v>945000</v>
      </c>
      <c r="C7" s="18">
        <f t="shared" ref="C7:D7" si="0">C8+C12</f>
        <v>976500</v>
      </c>
      <c r="D7" s="18">
        <f t="shared" si="0"/>
        <v>1025325</v>
      </c>
      <c r="E7" s="37">
        <v>100</v>
      </c>
      <c r="G7" s="28">
        <f t="shared" ref="G7:H10" si="1">(C7-B7)/B7*100</f>
        <v>3.3333333333333335</v>
      </c>
      <c r="H7" s="40">
        <f t="shared" si="1"/>
        <v>5</v>
      </c>
      <c r="I7" s="272"/>
      <c r="J7" s="42" t="s">
        <v>304</v>
      </c>
      <c r="K7" s="44">
        <f>(B20+B21+B24)*21%</f>
        <v>154669.87199999997</v>
      </c>
      <c r="L7" s="44">
        <f>B8*21%</f>
        <v>195300</v>
      </c>
      <c r="M7" s="44">
        <f>(C20+C21+C24)*21%</f>
        <v>162038.4192</v>
      </c>
      <c r="N7" s="44">
        <f>C8*21%</f>
        <v>205065</v>
      </c>
      <c r="O7" s="44">
        <f>(D20+D21+D24)*21%</f>
        <v>169898.53482</v>
      </c>
      <c r="P7" s="44">
        <f>D8*21%</f>
        <v>215318.25</v>
      </c>
    </row>
    <row r="8" spans="1:16" ht="15.75" customHeight="1" x14ac:dyDescent="0.3">
      <c r="A8" s="110" t="s">
        <v>249</v>
      </c>
      <c r="B8" s="92">
        <f>SUM(B9:B10)</f>
        <v>930000</v>
      </c>
      <c r="C8" s="18">
        <f t="shared" ref="C8:D8" si="2">SUM(C9:C10)</f>
        <v>976500</v>
      </c>
      <c r="D8" s="18">
        <f t="shared" si="2"/>
        <v>1025325</v>
      </c>
      <c r="E8" s="26"/>
      <c r="G8" s="28">
        <f t="shared" si="1"/>
        <v>5</v>
      </c>
      <c r="H8" s="40">
        <f t="shared" si="1"/>
        <v>5</v>
      </c>
      <c r="I8" s="272"/>
      <c r="J8" s="94" t="s">
        <v>305</v>
      </c>
      <c r="K8" s="97"/>
      <c r="L8" s="97">
        <f>L7-K7</f>
        <v>40630.128000000026</v>
      </c>
      <c r="M8" s="97"/>
      <c r="N8" s="97">
        <f>N7-M7</f>
        <v>43026.580799999996</v>
      </c>
      <c r="O8" s="97"/>
      <c r="P8" s="97">
        <f>P7-O7</f>
        <v>45419.715179999999</v>
      </c>
    </row>
    <row r="9" spans="1:16" ht="15" customHeight="1" x14ac:dyDescent="0.3">
      <c r="A9" s="6" t="s">
        <v>439</v>
      </c>
      <c r="B9" s="312">
        <f>'70-40-44-55'!C2</f>
        <v>930000</v>
      </c>
      <c r="C9" s="312">
        <f>'70-40-44-55'!C3</f>
        <v>976500</v>
      </c>
      <c r="D9" s="312">
        <f>'70-40-44-55'!C4</f>
        <v>1025325</v>
      </c>
      <c r="E9" s="26"/>
      <c r="G9" s="26">
        <f t="shared" si="1"/>
        <v>5</v>
      </c>
      <c r="H9" s="33">
        <f t="shared" si="1"/>
        <v>5</v>
      </c>
      <c r="I9" s="69"/>
      <c r="J9" s="247" t="s">
        <v>306</v>
      </c>
      <c r="K9" s="248"/>
      <c r="L9" s="248">
        <f>L8/4</f>
        <v>10157.532000000007</v>
      </c>
      <c r="M9" s="248"/>
      <c r="N9" s="248">
        <f>N8/4</f>
        <v>10756.645199999999</v>
      </c>
      <c r="O9" s="248"/>
      <c r="P9" s="248">
        <f>P8/4</f>
        <v>11354.928795</v>
      </c>
    </row>
    <row r="10" spans="1:16" ht="15" customHeight="1" x14ac:dyDescent="0.3">
      <c r="A10" s="6" t="s">
        <v>439</v>
      </c>
      <c r="B10" s="9"/>
      <c r="C10" s="7"/>
      <c r="D10" s="7"/>
      <c r="E10" s="26"/>
      <c r="G10" s="26" t="e">
        <f t="shared" si="1"/>
        <v>#DIV/0!</v>
      </c>
      <c r="H10" s="33" t="e">
        <f t="shared" si="1"/>
        <v>#DIV/0!</v>
      </c>
      <c r="I10" s="69"/>
      <c r="J10" s="94" t="s">
        <v>307</v>
      </c>
      <c r="K10" s="97"/>
      <c r="L10" s="97">
        <f>L8-L9</f>
        <v>30472.59600000002</v>
      </c>
      <c r="M10" s="97"/>
      <c r="N10" s="97">
        <f>N8-N9</f>
        <v>32269.935599999997</v>
      </c>
      <c r="O10" s="97"/>
      <c r="P10" s="97">
        <f>P8-P9</f>
        <v>34064.786384999999</v>
      </c>
    </row>
    <row r="11" spans="1:16" ht="6.75" customHeight="1" x14ac:dyDescent="0.3">
      <c r="B11" s="9"/>
      <c r="C11" s="7"/>
      <c r="D11" s="7"/>
      <c r="E11" s="26"/>
      <c r="G11" s="28"/>
      <c r="H11" s="40"/>
      <c r="I11" s="5"/>
      <c r="K11" s="120"/>
      <c r="L11" s="13"/>
      <c r="M11" s="120"/>
      <c r="N11" s="13"/>
      <c r="O11" s="120"/>
      <c r="P11" s="13"/>
    </row>
    <row r="12" spans="1:16" ht="15" customHeight="1" x14ac:dyDescent="0.3">
      <c r="A12" s="6" t="s">
        <v>250</v>
      </c>
      <c r="B12" s="92">
        <f>B13</f>
        <v>15000</v>
      </c>
      <c r="C12" s="18">
        <f>C13</f>
        <v>0</v>
      </c>
      <c r="D12" s="18">
        <f>D13</f>
        <v>0</v>
      </c>
      <c r="E12" s="26"/>
      <c r="G12" s="28">
        <f>(C12-B12)/B12*100</f>
        <v>-100</v>
      </c>
      <c r="H12" s="40" t="e">
        <f>(D12-C12)/C12*100</f>
        <v>#DIV/0!</v>
      </c>
      <c r="I12" s="5"/>
      <c r="L12" s="7"/>
      <c r="N12" s="7"/>
      <c r="P12" s="7"/>
    </row>
    <row r="13" spans="1:16" ht="15" customHeight="1" x14ac:dyDescent="0.3">
      <c r="A13" s="6" t="s">
        <v>579</v>
      </c>
      <c r="B13" s="9">
        <f>OPGAVE!B23</f>
        <v>15000</v>
      </c>
      <c r="C13" s="7"/>
      <c r="D13" s="7"/>
      <c r="E13" s="26"/>
      <c r="G13" s="26">
        <f>(C13-B13)/B13*100</f>
        <v>-100</v>
      </c>
      <c r="H13" s="33" t="e">
        <f>(D13-C13)/C13*100</f>
        <v>#DIV/0!</v>
      </c>
      <c r="I13" s="69"/>
      <c r="J13" s="237" t="s">
        <v>442</v>
      </c>
      <c r="K13" s="6">
        <f>B8</f>
        <v>930000</v>
      </c>
      <c r="L13" s="7"/>
      <c r="M13" s="6">
        <f>C8</f>
        <v>976500</v>
      </c>
      <c r="N13" s="7"/>
      <c r="O13" s="6">
        <f>D8</f>
        <v>1025325</v>
      </c>
      <c r="P13" s="7"/>
    </row>
    <row r="14" spans="1:16" ht="13.2" customHeight="1" x14ac:dyDescent="0.3">
      <c r="A14" s="6" t="s">
        <v>297</v>
      </c>
      <c r="B14" s="9"/>
      <c r="C14" s="7"/>
      <c r="D14" s="7"/>
      <c r="E14" s="26"/>
      <c r="G14" s="28"/>
      <c r="H14" s="40"/>
      <c r="I14" s="272"/>
      <c r="J14" s="9"/>
      <c r="L14" s="7"/>
      <c r="N14" s="7"/>
      <c r="P14" s="7"/>
    </row>
    <row r="15" spans="1:16" x14ac:dyDescent="0.3">
      <c r="A15" s="25" t="s">
        <v>125</v>
      </c>
      <c r="B15" s="92"/>
      <c r="C15" s="18"/>
      <c r="D15" s="18"/>
      <c r="E15" s="26"/>
      <c r="G15" s="28" t="e">
        <f>(C15-B15)/B15*100</f>
        <v>#DIV/0!</v>
      </c>
      <c r="H15" s="40" t="e">
        <f>(D15-C15)/C15*100</f>
        <v>#DIV/0!</v>
      </c>
      <c r="I15" s="272"/>
      <c r="J15" s="9" t="s">
        <v>205</v>
      </c>
      <c r="K15" s="174">
        <f>L7</f>
        <v>195300</v>
      </c>
      <c r="L15" s="7"/>
      <c r="M15" s="174">
        <f>N7</f>
        <v>205065</v>
      </c>
      <c r="N15" s="7"/>
      <c r="O15" s="174">
        <f>P7</f>
        <v>215318.25</v>
      </c>
      <c r="P15" s="7"/>
    </row>
    <row r="16" spans="1:16" ht="8.25" customHeight="1" x14ac:dyDescent="0.3">
      <c r="B16" s="9"/>
      <c r="C16" s="7"/>
      <c r="D16" s="7"/>
      <c r="E16" s="26"/>
      <c r="G16" s="44"/>
      <c r="H16" s="48"/>
      <c r="I16" s="272"/>
      <c r="J16" s="9"/>
      <c r="L16" s="7"/>
      <c r="N16" s="7"/>
      <c r="P16" s="7"/>
    </row>
    <row r="17" spans="1:16" ht="15" customHeight="1" x14ac:dyDescent="0.3">
      <c r="A17" s="145" t="s">
        <v>34</v>
      </c>
      <c r="B17" s="131">
        <f>B19+B24+B26+B28+B33+B37</f>
        <v>869418.83199999994</v>
      </c>
      <c r="C17" s="133">
        <f>C19+C24+C26+C28+C33+C37</f>
        <v>906372.06464</v>
      </c>
      <c r="D17" s="133">
        <f>D19+D24+D26+D28+D33+D37</f>
        <v>945704.80753280001</v>
      </c>
      <c r="E17" s="29">
        <f>D17/D7*100</f>
        <v>92.234638532445814</v>
      </c>
      <c r="G17" s="29">
        <f>(C17-B17)/B17*100</f>
        <v>4.2503372689769465</v>
      </c>
      <c r="H17" s="45">
        <f>(D17-C17)/C17*100</f>
        <v>4.3395802261869694</v>
      </c>
      <c r="I17" s="273"/>
      <c r="J17" s="9"/>
      <c r="K17" s="6">
        <f>SUM(K13:K15)</f>
        <v>1125300</v>
      </c>
      <c r="L17" s="7"/>
      <c r="M17" s="6">
        <f>SUM(M13:M15)</f>
        <v>1181565</v>
      </c>
      <c r="N17" s="7"/>
      <c r="O17" s="6">
        <f>SUM(O13:O15)</f>
        <v>1240643.25</v>
      </c>
      <c r="P17" s="7"/>
    </row>
    <row r="18" spans="1:16" ht="6.75" customHeight="1" x14ac:dyDescent="0.3">
      <c r="B18" s="9"/>
      <c r="C18" s="7"/>
      <c r="D18" s="7"/>
      <c r="E18" s="38"/>
      <c r="G18" s="43"/>
      <c r="H18" s="47"/>
      <c r="I18" s="272"/>
      <c r="J18" s="9"/>
      <c r="L18" s="7"/>
      <c r="N18" s="7"/>
      <c r="P18" s="7"/>
    </row>
    <row r="19" spans="1:16" ht="15" customHeight="1" x14ac:dyDescent="0.3">
      <c r="A19" s="25" t="s">
        <v>82</v>
      </c>
      <c r="B19" s="92">
        <f>SUM(B20:B22)</f>
        <v>558000</v>
      </c>
      <c r="C19" s="18">
        <f t="shared" ref="C19:D19" si="3">SUM(C20:C22)</f>
        <v>585900</v>
      </c>
      <c r="D19" s="18">
        <f t="shared" si="3"/>
        <v>615195</v>
      </c>
      <c r="E19" s="28">
        <f>D19/D$7*100</f>
        <v>60</v>
      </c>
      <c r="G19" s="28">
        <f t="shared" ref="G19:H22" si="4">(C19-B19)/B19*100</f>
        <v>5</v>
      </c>
      <c r="H19" s="40">
        <f t="shared" si="4"/>
        <v>5</v>
      </c>
      <c r="I19" s="272"/>
      <c r="J19" s="9" t="s">
        <v>440</v>
      </c>
      <c r="K19" s="235">
        <v>0.91666666666666663</v>
      </c>
      <c r="L19" s="244"/>
      <c r="M19" s="235">
        <v>0.91666666666666663</v>
      </c>
      <c r="N19" s="7"/>
      <c r="O19" s="235">
        <v>0.91666666666666663</v>
      </c>
      <c r="P19" s="7"/>
    </row>
    <row r="20" spans="1:16" ht="15" customHeight="1" x14ac:dyDescent="0.3">
      <c r="A20" s="6" t="s">
        <v>251</v>
      </c>
      <c r="B20" s="9"/>
      <c r="C20" s="7"/>
      <c r="D20" s="7"/>
      <c r="E20" s="26">
        <f>D20/D$7*100</f>
        <v>0</v>
      </c>
      <c r="G20" s="26" t="e">
        <f t="shared" si="4"/>
        <v>#DIV/0!</v>
      </c>
      <c r="H20" s="33" t="e">
        <f t="shared" si="4"/>
        <v>#DIV/0!</v>
      </c>
      <c r="I20" s="69"/>
      <c r="J20" s="9" t="s">
        <v>307</v>
      </c>
      <c r="K20" s="6">
        <f>K17*K19</f>
        <v>1031525</v>
      </c>
      <c r="L20" s="7"/>
      <c r="M20" s="6">
        <f>M17*M19</f>
        <v>1083101.25</v>
      </c>
      <c r="N20" s="7"/>
      <c r="O20" s="6">
        <f>O17*O19</f>
        <v>1137256.3125</v>
      </c>
      <c r="P20" s="7"/>
    </row>
    <row r="21" spans="1:16" ht="15" customHeight="1" x14ac:dyDescent="0.3">
      <c r="A21" s="6" t="s">
        <v>252</v>
      </c>
      <c r="B21" s="9">
        <f>'70-40-44-55'!L25</f>
        <v>558000</v>
      </c>
      <c r="C21" s="9">
        <f>'70-40-44-55'!L26</f>
        <v>585900</v>
      </c>
      <c r="D21" s="9">
        <f>'70-40-44-55'!L27</f>
        <v>615195</v>
      </c>
      <c r="E21" s="26">
        <f t="shared" ref="E21" si="5">D21/D$7*100</f>
        <v>60</v>
      </c>
      <c r="G21" s="26">
        <f t="shared" si="4"/>
        <v>5</v>
      </c>
      <c r="H21" s="33">
        <f t="shared" si="4"/>
        <v>5</v>
      </c>
      <c r="I21" s="69"/>
      <c r="J21" s="250" t="s">
        <v>441</v>
      </c>
      <c r="K21" s="251">
        <f>K17-K20</f>
        <v>93775</v>
      </c>
      <c r="L21" s="252"/>
      <c r="M21" s="251">
        <f>M17-M20</f>
        <v>98463.75</v>
      </c>
      <c r="N21" s="252"/>
      <c r="O21" s="251">
        <f>O17-O20</f>
        <v>103386.9375</v>
      </c>
      <c r="P21" s="252"/>
    </row>
    <row r="22" spans="1:16" ht="15" customHeight="1" x14ac:dyDescent="0.3">
      <c r="A22" s="6" t="s">
        <v>143</v>
      </c>
      <c r="B22" s="9"/>
      <c r="C22" s="7"/>
      <c r="D22" s="7"/>
      <c r="E22" s="26">
        <f t="shared" ref="E22" si="6">D22/D$7*100</f>
        <v>0</v>
      </c>
      <c r="G22" s="26" t="e">
        <f t="shared" si="4"/>
        <v>#DIV/0!</v>
      </c>
      <c r="H22" s="33" t="e">
        <f t="shared" si="4"/>
        <v>#DIV/0!</v>
      </c>
      <c r="J22" s="175"/>
      <c r="K22" s="175"/>
      <c r="L22" s="7"/>
      <c r="M22" s="175"/>
      <c r="N22" s="7"/>
      <c r="O22" s="175"/>
      <c r="P22" s="7"/>
    </row>
    <row r="23" spans="1:16" ht="7.5" customHeight="1" x14ac:dyDescent="0.3">
      <c r="B23" s="9"/>
      <c r="C23" s="7"/>
      <c r="D23" s="7"/>
      <c r="E23" s="28"/>
      <c r="G23" s="28"/>
      <c r="H23" s="40"/>
      <c r="I23" s="5"/>
      <c r="L23" s="7"/>
      <c r="N23" s="7"/>
      <c r="P23" s="7"/>
    </row>
    <row r="24" spans="1:16" ht="15" customHeight="1" x14ac:dyDescent="0.3">
      <c r="A24" s="25" t="s">
        <v>35</v>
      </c>
      <c r="B24" s="92">
        <f>DETAILS!B54</f>
        <v>178523.2</v>
      </c>
      <c r="C24" s="92">
        <f>DETAILS!C54</f>
        <v>185711.52000000002</v>
      </c>
      <c r="D24" s="92">
        <f>DETAILS!D54</f>
        <v>193845.64200000002</v>
      </c>
      <c r="E24" s="28">
        <f t="shared" ref="E24" si="7">D24/D$7*100</f>
        <v>18.905775437056548</v>
      </c>
      <c r="G24" s="28">
        <f>(C24-B24)/B24*100</f>
        <v>4.0265466897299662</v>
      </c>
      <c r="H24" s="40">
        <f>(D24-C24)/C24*100</f>
        <v>4.3799770741201209</v>
      </c>
      <c r="I24" s="272"/>
      <c r="J24" s="232">
        <v>700</v>
      </c>
      <c r="K24" s="239"/>
      <c r="L24" s="240">
        <v>1200000</v>
      </c>
      <c r="M24" s="239"/>
      <c r="N24" s="240">
        <f>L24*1.05</f>
        <v>1260000</v>
      </c>
      <c r="O24" s="239"/>
      <c r="P24" s="240">
        <f>N24*1.05</f>
        <v>1323000</v>
      </c>
    </row>
    <row r="25" spans="1:16" ht="7.5" customHeight="1" x14ac:dyDescent="0.3">
      <c r="A25" s="25"/>
      <c r="B25" s="92"/>
      <c r="C25" s="18"/>
      <c r="D25" s="18"/>
      <c r="E25" s="28"/>
      <c r="G25" s="28"/>
      <c r="H25" s="40"/>
      <c r="I25" s="272"/>
      <c r="J25" s="233"/>
      <c r="K25" s="241"/>
      <c r="L25" s="242"/>
      <c r="M25" s="241"/>
      <c r="N25" s="242"/>
      <c r="O25" s="241"/>
      <c r="P25" s="242"/>
    </row>
    <row r="26" spans="1:16" ht="15" customHeight="1" x14ac:dyDescent="0.3">
      <c r="A26" s="25" t="s">
        <v>36</v>
      </c>
      <c r="B26" s="92">
        <f>DETAILS!B74</f>
        <v>86195.631999999998</v>
      </c>
      <c r="C26" s="92">
        <f>DETAILS!C74</f>
        <v>87919.544639999993</v>
      </c>
      <c r="D26" s="92">
        <f>DETAILS!D74</f>
        <v>89677.935532800009</v>
      </c>
      <c r="E26" s="28">
        <f t="shared" ref="E26" si="8">D26/D$7*100</f>
        <v>8.7462936661838935</v>
      </c>
      <c r="G26" s="28">
        <f>(C26-B26)/B26*100</f>
        <v>1.9999999999999942</v>
      </c>
      <c r="H26" s="40">
        <f>(D26-C26)/C26*100</f>
        <v>2.0000000000000187</v>
      </c>
      <c r="I26" s="272"/>
      <c r="J26" s="233">
        <v>451</v>
      </c>
      <c r="K26" s="241"/>
      <c r="L26" s="242">
        <f>K15</f>
        <v>195300</v>
      </c>
      <c r="M26" s="241"/>
      <c r="N26" s="242">
        <f>M15</f>
        <v>205065</v>
      </c>
      <c r="O26" s="241"/>
      <c r="P26" s="242">
        <f>O15</f>
        <v>215318.25</v>
      </c>
    </row>
    <row r="27" spans="1:16" ht="6.75" customHeight="1" x14ac:dyDescent="0.3">
      <c r="B27" s="9"/>
      <c r="C27" s="7"/>
      <c r="D27" s="7"/>
      <c r="E27" s="28"/>
      <c r="G27" s="28"/>
      <c r="H27" s="40"/>
      <c r="I27" s="272"/>
      <c r="J27" s="233"/>
      <c r="K27" s="241"/>
      <c r="L27" s="242"/>
      <c r="M27" s="241"/>
      <c r="N27" s="242"/>
      <c r="O27" s="241"/>
      <c r="P27" s="242"/>
    </row>
    <row r="28" spans="1:16" ht="15" customHeight="1" x14ac:dyDescent="0.3">
      <c r="A28" s="25" t="s">
        <v>465</v>
      </c>
      <c r="B28" s="92">
        <f>B29+B30+B31</f>
        <v>42000</v>
      </c>
      <c r="C28" s="92">
        <f>C29+C30+C31</f>
        <v>42000</v>
      </c>
      <c r="D28" s="92">
        <f>D29+D30+D31</f>
        <v>42000</v>
      </c>
      <c r="E28" s="28">
        <f t="shared" ref="E28" si="9">D28/D$7*100</f>
        <v>4.0962621607782896</v>
      </c>
      <c r="G28" s="28">
        <f t="shared" ref="G28:H31" si="10">(C28-B28)/B28*100</f>
        <v>0</v>
      </c>
      <c r="H28" s="40">
        <f t="shared" si="10"/>
        <v>0</v>
      </c>
      <c r="I28" s="272"/>
      <c r="J28" s="233">
        <v>400</v>
      </c>
      <c r="K28" s="241">
        <f>K21</f>
        <v>93775</v>
      </c>
      <c r="L28" s="7"/>
      <c r="M28" s="241">
        <f>M21</f>
        <v>98463.75</v>
      </c>
      <c r="N28" s="7"/>
      <c r="O28" s="241">
        <f>O21</f>
        <v>103386.9375</v>
      </c>
      <c r="P28" s="7"/>
    </row>
    <row r="29" spans="1:16" ht="15" customHeight="1" x14ac:dyDescent="0.3">
      <c r="A29" s="6" t="s">
        <v>37</v>
      </c>
      <c r="B29" s="9">
        <f>'INVEST TABEL'!E33</f>
        <v>42000</v>
      </c>
      <c r="C29" s="7">
        <f>'INVEST TABEL'!F33</f>
        <v>42000</v>
      </c>
      <c r="D29" s="7">
        <f>'INVEST TABEL'!G33</f>
        <v>42000</v>
      </c>
      <c r="E29" s="26">
        <f t="shared" ref="E29" si="11">D29/D$7*100</f>
        <v>4.0962621607782896</v>
      </c>
      <c r="G29" s="26">
        <f t="shared" si="10"/>
        <v>0</v>
      </c>
      <c r="H29" s="33">
        <f t="shared" si="10"/>
        <v>0</v>
      </c>
      <c r="I29" s="69"/>
      <c r="J29" s="233">
        <v>550</v>
      </c>
      <c r="K29" s="241">
        <f>K20</f>
        <v>1031525</v>
      </c>
      <c r="L29" s="7"/>
      <c r="M29" s="241">
        <f>M20</f>
        <v>1083101.25</v>
      </c>
      <c r="N29" s="7"/>
      <c r="O29" s="241">
        <f>O20</f>
        <v>1137256.3125</v>
      </c>
      <c r="P29" s="7"/>
    </row>
    <row r="30" spans="1:16" ht="15" customHeight="1" x14ac:dyDescent="0.3">
      <c r="A30" s="6" t="s">
        <v>126</v>
      </c>
      <c r="B30" s="9"/>
      <c r="C30" s="7"/>
      <c r="D30" s="7"/>
      <c r="E30" s="26">
        <f t="shared" ref="E30:E31" si="12">D30/D$7*100</f>
        <v>0</v>
      </c>
      <c r="G30" s="26" t="e">
        <f t="shared" si="10"/>
        <v>#DIV/0!</v>
      </c>
      <c r="H30" s="33" t="e">
        <f t="shared" si="10"/>
        <v>#DIV/0!</v>
      </c>
      <c r="I30" s="69"/>
      <c r="J30" s="233"/>
      <c r="K30" s="243"/>
      <c r="L30" s="17"/>
      <c r="M30" s="243"/>
      <c r="N30" s="17"/>
      <c r="O30" s="243"/>
      <c r="P30" s="17"/>
    </row>
    <row r="31" spans="1:16" ht="15" customHeight="1" x14ac:dyDescent="0.3">
      <c r="A31" s="6" t="s">
        <v>119</v>
      </c>
      <c r="B31" s="9"/>
      <c r="C31" s="7"/>
      <c r="D31" s="7"/>
      <c r="E31" s="26">
        <f t="shared" si="12"/>
        <v>0</v>
      </c>
      <c r="G31" s="26" t="e">
        <f t="shared" si="10"/>
        <v>#DIV/0!</v>
      </c>
      <c r="H31" s="33" t="e">
        <f t="shared" si="10"/>
        <v>#DIV/0!</v>
      </c>
      <c r="I31" s="69"/>
      <c r="J31" s="234"/>
      <c r="K31" s="234">
        <f t="shared" ref="K31:P31" si="13">SUM(K24:K30)</f>
        <v>1125300</v>
      </c>
      <c r="L31" s="17">
        <f t="shared" si="13"/>
        <v>1395300</v>
      </c>
      <c r="M31" s="234">
        <f t="shared" si="13"/>
        <v>1181565</v>
      </c>
      <c r="N31" s="17">
        <f t="shared" si="13"/>
        <v>1465065</v>
      </c>
      <c r="O31" s="234">
        <f t="shared" si="13"/>
        <v>1240643.25</v>
      </c>
      <c r="P31" s="17">
        <f t="shared" si="13"/>
        <v>1538318.25</v>
      </c>
    </row>
    <row r="32" spans="1:16" ht="6.75" customHeight="1" x14ac:dyDescent="0.3">
      <c r="B32" s="9"/>
      <c r="C32" s="7"/>
      <c r="D32" s="7"/>
      <c r="E32" s="28"/>
      <c r="G32" s="28"/>
      <c r="H32" s="40"/>
      <c r="I32" s="5"/>
      <c r="J32" s="175"/>
      <c r="K32" s="175"/>
      <c r="L32" s="7"/>
      <c r="M32" s="175"/>
      <c r="N32" s="7"/>
      <c r="O32" s="175"/>
      <c r="P32" s="7"/>
    </row>
    <row r="33" spans="1:16" ht="15" customHeight="1" x14ac:dyDescent="0.3">
      <c r="A33" s="25" t="s">
        <v>38</v>
      </c>
      <c r="B33" s="92">
        <f>B34+B35</f>
        <v>4700</v>
      </c>
      <c r="C33" s="18">
        <f t="shared" ref="C33:D33" si="14">C34+C35</f>
        <v>4841</v>
      </c>
      <c r="D33" s="18">
        <f t="shared" si="14"/>
        <v>4986.2300000000005</v>
      </c>
      <c r="E33" s="28">
        <f t="shared" ref="E33" si="15">D33/D$7*100</f>
        <v>0.48630726842708416</v>
      </c>
      <c r="G33" s="28">
        <f t="shared" ref="G33:H35" si="16">(C33-B33)/B33*100</f>
        <v>3</v>
      </c>
      <c r="H33" s="40">
        <f t="shared" si="16"/>
        <v>3.0000000000000098</v>
      </c>
      <c r="I33" s="5"/>
      <c r="J33" s="175"/>
      <c r="K33" s="175"/>
      <c r="L33" s="7"/>
      <c r="M33" s="175"/>
      <c r="N33" s="7"/>
      <c r="O33" s="175"/>
      <c r="P33" s="7"/>
    </row>
    <row r="34" spans="1:16" ht="15" customHeight="1" x14ac:dyDescent="0.3">
      <c r="A34" s="6" t="s">
        <v>127</v>
      </c>
      <c r="B34" s="92">
        <f>DETAILS!B91</f>
        <v>4700</v>
      </c>
      <c r="C34" s="92">
        <f>DETAILS!B92</f>
        <v>4841</v>
      </c>
      <c r="D34" s="92">
        <f>DETAILS!B93</f>
        <v>4986.2300000000005</v>
      </c>
      <c r="E34" s="26">
        <f t="shared" ref="E34" si="17">D34/D$7*100</f>
        <v>0.48630726842708416</v>
      </c>
      <c r="G34" s="26">
        <f t="shared" si="16"/>
        <v>3</v>
      </c>
      <c r="H34" s="33">
        <f t="shared" si="16"/>
        <v>3.0000000000000098</v>
      </c>
      <c r="J34" s="238" t="s">
        <v>443</v>
      </c>
      <c r="K34" s="245">
        <f>B20+B21+B24</f>
        <v>736523.2</v>
      </c>
      <c r="L34" s="7"/>
      <c r="M34" s="245">
        <f>C20+C21+C24</f>
        <v>771611.52</v>
      </c>
      <c r="N34" s="7"/>
      <c r="O34" s="245">
        <f>D20+D21+D24</f>
        <v>809040.64199999999</v>
      </c>
      <c r="P34" s="7"/>
    </row>
    <row r="35" spans="1:16" ht="15" customHeight="1" x14ac:dyDescent="0.3">
      <c r="A35" s="6" t="s">
        <v>464</v>
      </c>
      <c r="B35" s="9"/>
      <c r="C35" s="7"/>
      <c r="D35" s="7"/>
      <c r="E35" s="26">
        <f t="shared" ref="E35" si="18">D35/D$7*100</f>
        <v>0</v>
      </c>
      <c r="G35" s="26" t="e">
        <f t="shared" si="16"/>
        <v>#DIV/0!</v>
      </c>
      <c r="H35" s="33" t="e">
        <f t="shared" si="16"/>
        <v>#DIV/0!</v>
      </c>
      <c r="J35" s="233" t="s">
        <v>205</v>
      </c>
      <c r="K35" s="246">
        <f>K7</f>
        <v>154669.87199999997</v>
      </c>
      <c r="L35" s="7"/>
      <c r="M35" s="246">
        <f>M7</f>
        <v>162038.4192</v>
      </c>
      <c r="N35" s="7"/>
      <c r="O35" s="246">
        <f>O7</f>
        <v>169898.53482</v>
      </c>
      <c r="P35" s="7"/>
    </row>
    <row r="36" spans="1:16" ht="6.75" customHeight="1" x14ac:dyDescent="0.3">
      <c r="B36" s="9"/>
      <c r="C36" s="7"/>
      <c r="D36" s="7"/>
      <c r="E36" s="28"/>
      <c r="G36" s="28"/>
      <c r="H36" s="40"/>
      <c r="I36" s="5"/>
      <c r="J36" s="233"/>
      <c r="K36" s="245"/>
      <c r="L36" s="7"/>
      <c r="M36" s="245"/>
      <c r="N36" s="7"/>
      <c r="O36" s="245"/>
      <c r="P36" s="7"/>
    </row>
    <row r="37" spans="1:16" ht="15" customHeight="1" x14ac:dyDescent="0.3">
      <c r="A37" s="25" t="s">
        <v>253</v>
      </c>
      <c r="B37" s="9"/>
      <c r="C37" s="7"/>
      <c r="D37" s="7"/>
      <c r="E37" s="28">
        <f t="shared" ref="E37" si="19">D37/D$7*100</f>
        <v>0</v>
      </c>
      <c r="G37" s="28" t="e">
        <f>(C37-B37)/B37*100</f>
        <v>#DIV/0!</v>
      </c>
      <c r="H37" s="40" t="e">
        <f>(D37-C37)/C37*100</f>
        <v>#DIV/0!</v>
      </c>
      <c r="I37" s="5"/>
      <c r="J37" s="233"/>
      <c r="K37" s="245">
        <f>SUM(K34:K36)</f>
        <v>891193.07199999993</v>
      </c>
      <c r="L37" s="7"/>
      <c r="M37" s="245">
        <f>SUM(M34:M36)</f>
        <v>933649.93920000002</v>
      </c>
      <c r="N37" s="7"/>
      <c r="O37" s="245">
        <f>SUM(O34:O36)</f>
        <v>978939.17681999994</v>
      </c>
      <c r="P37" s="7"/>
    </row>
    <row r="38" spans="1:16" ht="7.5" customHeight="1" x14ac:dyDescent="0.3">
      <c r="B38" s="9"/>
      <c r="C38" s="7"/>
      <c r="D38" s="7"/>
      <c r="E38" s="41"/>
      <c r="G38" s="44"/>
      <c r="H38" s="48"/>
      <c r="I38" s="5"/>
      <c r="J38" s="9"/>
      <c r="L38" s="7"/>
      <c r="N38" s="7"/>
      <c r="P38" s="7"/>
    </row>
    <row r="39" spans="1:16" ht="15" customHeight="1" x14ac:dyDescent="0.3">
      <c r="A39" s="30" t="s">
        <v>128</v>
      </c>
      <c r="B39" s="11">
        <f>B7-B19-B24</f>
        <v>208476.79999999999</v>
      </c>
      <c r="C39" s="100">
        <f>C7-C19-C24</f>
        <v>204888.47999999998</v>
      </c>
      <c r="D39" s="100">
        <f>D7-D19-D24</f>
        <v>216284.35799999998</v>
      </c>
      <c r="E39" s="29">
        <f>D39/D$7*100</f>
        <v>21.094224562943456</v>
      </c>
      <c r="G39" s="29">
        <f t="shared" ref="G39:H42" si="20">(C39-B39)/B39*100</f>
        <v>-1.7212083071113944</v>
      </c>
      <c r="H39" s="45">
        <f t="shared" si="20"/>
        <v>5.5619906009356885</v>
      </c>
      <c r="I39" s="198"/>
      <c r="J39" s="9" t="s">
        <v>444</v>
      </c>
      <c r="K39" s="235">
        <v>0.91666666666666663</v>
      </c>
      <c r="L39" s="7"/>
      <c r="M39" s="235">
        <v>0.91666666666666663</v>
      </c>
      <c r="N39" s="7"/>
      <c r="O39" s="235">
        <v>0.91666666666666663</v>
      </c>
      <c r="P39" s="7"/>
    </row>
    <row r="40" spans="1:16" ht="15" customHeight="1" x14ac:dyDescent="0.3">
      <c r="A40" s="31" t="s">
        <v>129</v>
      </c>
      <c r="B40" s="11">
        <f>B5-B17</f>
        <v>75581.168000000063</v>
      </c>
      <c r="C40" s="100">
        <f t="shared" ref="C40:D40" si="21">C5-C17</f>
        <v>70127.935360000003</v>
      </c>
      <c r="D40" s="100">
        <f t="shared" si="21"/>
        <v>79620.192467199988</v>
      </c>
      <c r="E40" s="29">
        <f t="shared" ref="E40" si="22">D40/D$7*100</f>
        <v>7.7653614675541895</v>
      </c>
      <c r="G40" s="29">
        <f t="shared" si="20"/>
        <v>-7.2150679650783589</v>
      </c>
      <c r="H40" s="45">
        <f t="shared" si="20"/>
        <v>13.535628930855756</v>
      </c>
      <c r="I40" s="198"/>
      <c r="J40" s="9" t="s">
        <v>307</v>
      </c>
      <c r="K40" s="6">
        <f>K37*K39</f>
        <v>816926.98266666662</v>
      </c>
      <c r="L40" s="7"/>
      <c r="M40" s="6">
        <f>M37*M39</f>
        <v>855845.77760000003</v>
      </c>
      <c r="N40" s="7"/>
      <c r="O40" s="6">
        <f>O37*O39</f>
        <v>897360.91208499996</v>
      </c>
      <c r="P40" s="7"/>
    </row>
    <row r="41" spans="1:16" ht="15" customHeight="1" x14ac:dyDescent="0.3">
      <c r="A41" s="31" t="s">
        <v>130</v>
      </c>
      <c r="B41" s="11">
        <f>B40+B29+B30</f>
        <v>117581.16800000006</v>
      </c>
      <c r="C41" s="11">
        <f>C40+C29+C30</f>
        <v>112127.93536</v>
      </c>
      <c r="D41" s="11">
        <f>D40+D29+D30</f>
        <v>121620.19246719999</v>
      </c>
      <c r="E41" s="29">
        <f t="shared" ref="E41" si="23">D41/D$7*100</f>
        <v>11.861623628332479</v>
      </c>
      <c r="G41" s="29">
        <f t="shared" si="20"/>
        <v>-4.6378452712768237</v>
      </c>
      <c r="H41" s="45">
        <f t="shared" si="20"/>
        <v>8.4655595206707144</v>
      </c>
      <c r="I41" s="273"/>
      <c r="J41" s="250" t="s">
        <v>445</v>
      </c>
      <c r="K41" s="251">
        <f>K37-K40</f>
        <v>74266.089333333308</v>
      </c>
      <c r="L41" s="252"/>
      <c r="M41" s="251">
        <f>M37-M40</f>
        <v>77804.161599999992</v>
      </c>
      <c r="N41" s="252"/>
      <c r="O41" s="251">
        <f>O37-O40</f>
        <v>81578.264734999975</v>
      </c>
      <c r="P41" s="252"/>
    </row>
    <row r="42" spans="1:16" ht="15" customHeight="1" x14ac:dyDescent="0.3">
      <c r="A42" s="134" t="s">
        <v>74</v>
      </c>
      <c r="B42" s="131">
        <f>B5-B17</f>
        <v>75581.168000000063</v>
      </c>
      <c r="C42" s="133">
        <f t="shared" ref="C42" si="24">C5-C17</f>
        <v>70127.935360000003</v>
      </c>
      <c r="D42" s="133">
        <f>D5-D17</f>
        <v>79620.192467199988</v>
      </c>
      <c r="E42" s="29">
        <f t="shared" ref="E42" si="25">D42/D$7*100</f>
        <v>7.7653614675541895</v>
      </c>
      <c r="G42" s="29">
        <f t="shared" si="20"/>
        <v>-7.2150679650783589</v>
      </c>
      <c r="H42" s="45">
        <f t="shared" si="20"/>
        <v>13.535628930855756</v>
      </c>
      <c r="I42" s="198"/>
      <c r="L42" s="7"/>
      <c r="N42" s="7"/>
      <c r="P42" s="7"/>
    </row>
    <row r="43" spans="1:16" ht="8.25" customHeight="1" x14ac:dyDescent="0.3">
      <c r="B43" s="9"/>
      <c r="C43" s="7"/>
      <c r="D43" s="7"/>
      <c r="E43" s="26"/>
      <c r="G43" s="43"/>
      <c r="H43" s="47"/>
      <c r="I43" s="5"/>
      <c r="J43" s="175"/>
      <c r="L43" s="7"/>
      <c r="N43" s="7"/>
      <c r="P43" s="7"/>
    </row>
    <row r="44" spans="1:16" ht="15" customHeight="1" x14ac:dyDescent="0.3">
      <c r="A44" s="6" t="s">
        <v>39</v>
      </c>
      <c r="B44" s="92"/>
      <c r="C44" s="18"/>
      <c r="D44" s="18"/>
      <c r="E44" s="28">
        <f>D44/D$7*100</f>
        <v>0</v>
      </c>
      <c r="G44" s="28" t="e">
        <f t="shared" ref="G44:H46" si="26">(C44-B44)/B44*100</f>
        <v>#DIV/0!</v>
      </c>
      <c r="H44" s="40" t="e">
        <f t="shared" si="26"/>
        <v>#DIV/0!</v>
      </c>
      <c r="I44" s="5"/>
      <c r="J44" s="232">
        <v>600</v>
      </c>
      <c r="K44" s="8">
        <f>B20+B21</f>
        <v>558000</v>
      </c>
      <c r="L44" s="13"/>
      <c r="M44" s="8">
        <f>C20+C21</f>
        <v>585900</v>
      </c>
      <c r="N44" s="13"/>
      <c r="O44" s="8">
        <f>D20+D21</f>
        <v>615195</v>
      </c>
      <c r="P44" s="13"/>
    </row>
    <row r="45" spans="1:16" ht="15" customHeight="1" x14ac:dyDescent="0.3">
      <c r="A45" s="6" t="s">
        <v>40</v>
      </c>
      <c r="B45" s="92">
        <f>Aflossingstabel!K13</f>
        <v>12981.469410886984</v>
      </c>
      <c r="C45" s="18">
        <f>Aflossingstabel!K14</f>
        <v>11925.827439313314</v>
      </c>
      <c r="D45" s="18">
        <f>Aflossingstabel!K15</f>
        <v>10777.785173661705</v>
      </c>
      <c r="E45" s="28">
        <f>D45/D$7*100</f>
        <v>1.0511579424730406</v>
      </c>
      <c r="G45" s="28">
        <f t="shared" si="26"/>
        <v>-8.1319143323509273</v>
      </c>
      <c r="H45" s="40">
        <f t="shared" si="26"/>
        <v>-9.6265208556272164</v>
      </c>
      <c r="I45" s="5"/>
      <c r="J45" s="233">
        <v>61</v>
      </c>
      <c r="K45" s="9">
        <f>B24</f>
        <v>178523.2</v>
      </c>
      <c r="L45" s="7"/>
      <c r="M45" s="9">
        <f>C24</f>
        <v>185711.52000000002</v>
      </c>
      <c r="N45" s="7"/>
      <c r="O45" s="9">
        <f>D24</f>
        <v>193845.64200000002</v>
      </c>
      <c r="P45" s="7"/>
    </row>
    <row r="46" spans="1:16" ht="15" customHeight="1" x14ac:dyDescent="0.3">
      <c r="A46" s="6" t="s">
        <v>254</v>
      </c>
      <c r="B46" s="92"/>
      <c r="C46" s="18"/>
      <c r="D46" s="18"/>
      <c r="E46" s="28">
        <f>D46/D$7*100</f>
        <v>0</v>
      </c>
      <c r="G46" s="28" t="e">
        <f t="shared" si="26"/>
        <v>#DIV/0!</v>
      </c>
      <c r="H46" s="40" t="e">
        <f t="shared" si="26"/>
        <v>#DIV/0!</v>
      </c>
      <c r="I46" s="5"/>
      <c r="J46" s="233">
        <v>411</v>
      </c>
      <c r="K46" s="9">
        <f>K35</f>
        <v>154669.87199999997</v>
      </c>
      <c r="L46" s="7"/>
      <c r="M46" s="9">
        <f>M35</f>
        <v>162038.4192</v>
      </c>
      <c r="N46" s="7"/>
      <c r="O46" s="9">
        <f>O35</f>
        <v>169898.53482</v>
      </c>
      <c r="P46" s="7"/>
    </row>
    <row r="47" spans="1:16" ht="8.25" customHeight="1" x14ac:dyDescent="0.3">
      <c r="B47" s="92"/>
      <c r="C47" s="18"/>
      <c r="D47" s="18"/>
      <c r="E47" s="28"/>
      <c r="G47" s="28"/>
      <c r="H47" s="40"/>
      <c r="I47" s="5"/>
      <c r="J47" s="233"/>
      <c r="K47" s="9"/>
      <c r="L47" s="7"/>
      <c r="M47" s="9"/>
      <c r="N47" s="7"/>
      <c r="O47" s="9"/>
      <c r="P47" s="7"/>
    </row>
    <row r="48" spans="1:16" ht="15" customHeight="1" x14ac:dyDescent="0.3">
      <c r="A48" s="145" t="s">
        <v>41</v>
      </c>
      <c r="B48" s="131">
        <f>B42+B44-B45</f>
        <v>62599.698589113075</v>
      </c>
      <c r="C48" s="133">
        <f>C42+C44-C45</f>
        <v>58202.107920686685</v>
      </c>
      <c r="D48" s="133">
        <f>D42+D44-D45</f>
        <v>68842.407293538286</v>
      </c>
      <c r="E48" s="29">
        <f>D48/D7*100</f>
        <v>6.7142035250811487</v>
      </c>
      <c r="G48" s="29">
        <f>(C48-B48)/B48*100</f>
        <v>-7.024939045299476</v>
      </c>
      <c r="H48" s="45">
        <f>(D48-C48)/C48*100</f>
        <v>18.281639193122309</v>
      </c>
      <c r="I48" s="198"/>
      <c r="J48" s="233">
        <v>440</v>
      </c>
      <c r="K48" s="9"/>
      <c r="L48" s="7">
        <f>K41</f>
        <v>74266.089333333308</v>
      </c>
      <c r="M48" s="9"/>
      <c r="N48" s="7">
        <f>M41</f>
        <v>77804.161599999992</v>
      </c>
      <c r="O48" s="9"/>
      <c r="P48" s="7">
        <f>O41</f>
        <v>81578.264734999975</v>
      </c>
    </row>
    <row r="49" spans="1:16" ht="8.25" customHeight="1" x14ac:dyDescent="0.3">
      <c r="A49" s="13"/>
      <c r="B49" s="9"/>
      <c r="C49" s="7"/>
      <c r="D49" s="7"/>
      <c r="E49" s="26"/>
      <c r="G49" s="28"/>
      <c r="H49" s="40"/>
      <c r="I49" s="5"/>
      <c r="J49" s="233"/>
      <c r="K49" s="9"/>
      <c r="L49" s="7"/>
      <c r="M49" s="9"/>
      <c r="N49" s="7"/>
      <c r="O49" s="9"/>
      <c r="P49" s="7"/>
    </row>
    <row r="50" spans="1:16" ht="15" customHeight="1" x14ac:dyDescent="0.3">
      <c r="A50" s="7" t="s">
        <v>255</v>
      </c>
      <c r="B50" s="92"/>
      <c r="C50" s="18"/>
      <c r="D50" s="18"/>
      <c r="E50" s="28"/>
      <c r="G50" s="28" t="e">
        <f t="shared" ref="G50:H52" si="27">(C50-B50)/B50*100</f>
        <v>#DIV/0!</v>
      </c>
      <c r="H50" s="40" t="e">
        <f t="shared" si="27"/>
        <v>#DIV/0!</v>
      </c>
      <c r="I50" s="5"/>
      <c r="J50" s="233">
        <v>550</v>
      </c>
      <c r="K50" s="9"/>
      <c r="L50" s="7">
        <f>K40</f>
        <v>816926.98266666662</v>
      </c>
      <c r="M50" s="9"/>
      <c r="N50" s="7">
        <f>M40</f>
        <v>855845.77760000003</v>
      </c>
      <c r="O50" s="9"/>
      <c r="P50" s="7">
        <f>O40</f>
        <v>897360.91208499996</v>
      </c>
    </row>
    <row r="51" spans="1:16" ht="15" customHeight="1" x14ac:dyDescent="0.3">
      <c r="A51" s="7" t="s">
        <v>256</v>
      </c>
      <c r="B51" s="92"/>
      <c r="C51" s="18"/>
      <c r="D51" s="18"/>
      <c r="E51" s="28"/>
      <c r="G51" s="28" t="e">
        <f t="shared" si="27"/>
        <v>#DIV/0!</v>
      </c>
      <c r="H51" s="40" t="e">
        <f t="shared" si="27"/>
        <v>#DIV/0!</v>
      </c>
      <c r="I51" s="5"/>
      <c r="J51" s="233"/>
      <c r="K51" s="83"/>
      <c r="L51" s="17"/>
      <c r="M51" s="83"/>
      <c r="N51" s="17"/>
      <c r="O51" s="83"/>
      <c r="P51" s="17"/>
    </row>
    <row r="52" spans="1:16" ht="15" customHeight="1" x14ac:dyDescent="0.3">
      <c r="A52" s="7" t="s">
        <v>257</v>
      </c>
      <c r="B52" s="92">
        <f>B48*25%</f>
        <v>15649.924647278269</v>
      </c>
      <c r="C52" s="18">
        <f>C48*25%</f>
        <v>14550.526980171671</v>
      </c>
      <c r="D52" s="18">
        <f>D48*25%</f>
        <v>17210.601823384572</v>
      </c>
      <c r="E52" s="28">
        <f>D52/D7*100</f>
        <v>1.6785508812702872</v>
      </c>
      <c r="G52" s="28">
        <f t="shared" si="27"/>
        <v>-7.024939045299476</v>
      </c>
      <c r="H52" s="40">
        <f t="shared" si="27"/>
        <v>18.281639193122309</v>
      </c>
      <c r="I52" s="5"/>
      <c r="J52" s="234"/>
      <c r="K52" s="83">
        <f>SUM(K44:K51)</f>
        <v>891193.07199999993</v>
      </c>
      <c r="L52" s="17">
        <f>SUM(L44:L50)</f>
        <v>891193.07199999993</v>
      </c>
      <c r="M52" s="83">
        <f>SUM(M44:M51)</f>
        <v>933649.93920000002</v>
      </c>
      <c r="N52" s="17">
        <f>SUM(N44:N50)</f>
        <v>933649.93920000002</v>
      </c>
      <c r="O52" s="83">
        <f>SUM(O44:O51)</f>
        <v>978939.17681999994</v>
      </c>
      <c r="P52" s="17">
        <f>SUM(P44:P50)</f>
        <v>978939.17681999994</v>
      </c>
    </row>
    <row r="53" spans="1:16" ht="9" customHeight="1" x14ac:dyDescent="0.3">
      <c r="A53" s="7"/>
      <c r="B53" s="9"/>
      <c r="C53" s="7"/>
      <c r="D53" s="7"/>
      <c r="E53" s="26"/>
      <c r="G53" s="28"/>
      <c r="H53" s="40"/>
      <c r="I53" s="5"/>
      <c r="L53" s="7"/>
      <c r="N53" s="7"/>
      <c r="P53" s="7"/>
    </row>
    <row r="54" spans="1:16" ht="15" customHeight="1" x14ac:dyDescent="0.3">
      <c r="A54" s="134" t="s">
        <v>42</v>
      </c>
      <c r="B54" s="131">
        <f>B48+B50-B51-B52</f>
        <v>46949.773941834806</v>
      </c>
      <c r="C54" s="133">
        <f t="shared" ref="C54:D54" si="28">C48+C50-C51-C52</f>
        <v>43651.580940515014</v>
      </c>
      <c r="D54" s="133">
        <f t="shared" si="28"/>
        <v>51631.805470153718</v>
      </c>
      <c r="E54" s="29">
        <f>D54/D7*100</f>
        <v>5.0356526438108613</v>
      </c>
      <c r="G54" s="29">
        <f>(C54-B54)/B54*100</f>
        <v>-7.024939045299476</v>
      </c>
      <c r="H54" s="45">
        <f>(D54-C54)/C54*100</f>
        <v>18.281639193122317</v>
      </c>
      <c r="I54" s="198"/>
      <c r="J54" s="22" t="s">
        <v>205</v>
      </c>
      <c r="K54" s="175">
        <v>411</v>
      </c>
      <c r="L54" s="231">
        <v>451</v>
      </c>
      <c r="M54" s="175">
        <v>411</v>
      </c>
      <c r="N54" s="231">
        <v>451</v>
      </c>
      <c r="O54" s="175">
        <v>411</v>
      </c>
      <c r="P54" s="231">
        <v>451</v>
      </c>
    </row>
    <row r="55" spans="1:16" ht="8.25" customHeight="1" x14ac:dyDescent="0.3">
      <c r="A55" s="112"/>
      <c r="B55" s="108"/>
      <c r="C55" s="115"/>
      <c r="D55" s="115"/>
      <c r="E55" s="37"/>
      <c r="G55" s="28"/>
      <c r="H55" s="40"/>
      <c r="I55" s="5"/>
      <c r="L55" s="7"/>
      <c r="N55" s="7"/>
      <c r="P55" s="7"/>
    </row>
    <row r="56" spans="1:16" ht="15" customHeight="1" x14ac:dyDescent="0.3">
      <c r="A56" s="33" t="s">
        <v>258</v>
      </c>
      <c r="B56" s="92"/>
      <c r="C56" s="18"/>
      <c r="D56" s="18"/>
      <c r="E56" s="37"/>
      <c r="G56" s="28" t="e">
        <f>(C56-B56)/B56*100</f>
        <v>#DIV/0!</v>
      </c>
      <c r="H56" s="40" t="e">
        <f>(D56-C56)/C56*100</f>
        <v>#DIV/0!</v>
      </c>
      <c r="I56" s="5"/>
      <c r="K56" s="6">
        <f>K46</f>
        <v>154669.87199999997</v>
      </c>
      <c r="L56" s="7">
        <f>L26</f>
        <v>195300</v>
      </c>
      <c r="M56" s="6">
        <f>M46</f>
        <v>162038.4192</v>
      </c>
      <c r="N56" s="7">
        <f>N26</f>
        <v>205065</v>
      </c>
      <c r="O56" s="6">
        <f>O46</f>
        <v>169898.53482</v>
      </c>
      <c r="P56" s="7">
        <f>P26</f>
        <v>215318.25</v>
      </c>
    </row>
    <row r="57" spans="1:16" ht="15" customHeight="1" x14ac:dyDescent="0.3">
      <c r="A57" s="33" t="s">
        <v>259</v>
      </c>
      <c r="B57" s="92"/>
      <c r="C57" s="18"/>
      <c r="D57" s="18">
        <f>D13-D51</f>
        <v>0</v>
      </c>
      <c r="E57" s="37"/>
      <c r="G57" s="28" t="e">
        <f>(C57-B57)/B57*100</f>
        <v>#DIV/0!</v>
      </c>
      <c r="H57" s="40" t="e">
        <f>(D57-C57)/C57*100</f>
        <v>#DIV/0!</v>
      </c>
      <c r="I57" s="5"/>
      <c r="L57" s="7"/>
      <c r="N57" s="7"/>
      <c r="P57" s="7"/>
    </row>
    <row r="58" spans="1:16" ht="6.75" customHeight="1" x14ac:dyDescent="0.3">
      <c r="A58" s="7"/>
      <c r="B58" s="106"/>
      <c r="C58" s="116"/>
      <c r="D58" s="116"/>
      <c r="E58" s="37"/>
      <c r="G58" s="28"/>
      <c r="H58" s="40"/>
      <c r="I58" s="5"/>
      <c r="J58" s="175"/>
      <c r="L58" s="7"/>
      <c r="N58" s="7"/>
      <c r="P58" s="7"/>
    </row>
    <row r="59" spans="1:16" ht="15" customHeight="1" x14ac:dyDescent="0.3">
      <c r="A59" s="148" t="s">
        <v>131</v>
      </c>
      <c r="B59" s="129">
        <f>B54+B56-B57</f>
        <v>46949.773941834806</v>
      </c>
      <c r="C59" s="152">
        <f t="shared" ref="C59:D59" si="29">C54+C56-C57</f>
        <v>43651.580940515014</v>
      </c>
      <c r="D59" s="152">
        <f t="shared" si="29"/>
        <v>51631.805470153718</v>
      </c>
      <c r="E59" s="29">
        <f>D59/D7*100</f>
        <v>5.0356526438108613</v>
      </c>
      <c r="G59" s="42">
        <f>(C59-B59)/B59*100</f>
        <v>-7.024939045299476</v>
      </c>
      <c r="H59" s="236">
        <f>(D59-C59)/C59*100</f>
        <v>18.281639193122317</v>
      </c>
      <c r="I59" s="195"/>
      <c r="J59" s="232">
        <v>411</v>
      </c>
      <c r="K59" s="8"/>
      <c r="L59" s="13">
        <f>K56</f>
        <v>154669.87199999997</v>
      </c>
      <c r="M59" s="8"/>
      <c r="N59" s="13">
        <f>M56</f>
        <v>162038.4192</v>
      </c>
      <c r="O59" s="8"/>
      <c r="P59" s="13">
        <f>O56</f>
        <v>169898.53482</v>
      </c>
    </row>
    <row r="60" spans="1:16" x14ac:dyDescent="0.3">
      <c r="J60" s="233">
        <v>451</v>
      </c>
      <c r="K60" s="9">
        <f>L59</f>
        <v>154669.87199999997</v>
      </c>
      <c r="L60" s="7"/>
      <c r="M60" s="9">
        <f>N59</f>
        <v>162038.4192</v>
      </c>
      <c r="N60" s="7"/>
      <c r="O60" s="9">
        <f>P59</f>
        <v>169898.53482</v>
      </c>
      <c r="P60" s="7"/>
    </row>
    <row r="61" spans="1:16" x14ac:dyDescent="0.3">
      <c r="J61" s="233">
        <v>550</v>
      </c>
      <c r="K61" s="9"/>
      <c r="L61" s="7">
        <f>L10</f>
        <v>30472.59600000002</v>
      </c>
      <c r="M61" s="9"/>
      <c r="N61" s="7">
        <f>N10</f>
        <v>32269.935599999997</v>
      </c>
      <c r="O61" s="9"/>
      <c r="P61" s="7">
        <f>P10</f>
        <v>34064.786384999999</v>
      </c>
    </row>
    <row r="62" spans="1:16" ht="15.6" x14ac:dyDescent="0.3">
      <c r="A62" s="104" t="str">
        <f>A1</f>
        <v>VDO</v>
      </c>
      <c r="J62" s="233">
        <v>451</v>
      </c>
      <c r="K62" s="83">
        <f>L61</f>
        <v>30472.59600000002</v>
      </c>
      <c r="L62" s="17"/>
      <c r="M62" s="83">
        <f>N61</f>
        <v>32269.935599999997</v>
      </c>
      <c r="N62" s="17"/>
      <c r="O62" s="83">
        <f>P61</f>
        <v>34064.786384999999</v>
      </c>
      <c r="P62" s="17"/>
    </row>
    <row r="63" spans="1:16" ht="14.4" x14ac:dyDescent="0.3">
      <c r="A63" s="103" t="s">
        <v>76</v>
      </c>
      <c r="J63" s="234"/>
      <c r="K63" s="83">
        <f t="shared" ref="K63:P63" si="30">SUM(K59:K62)</f>
        <v>185142.46799999999</v>
      </c>
      <c r="L63" s="17">
        <f t="shared" si="30"/>
        <v>185142.46799999999</v>
      </c>
      <c r="M63" s="83">
        <f t="shared" si="30"/>
        <v>194308.3548</v>
      </c>
      <c r="N63" s="17">
        <f t="shared" si="30"/>
        <v>194308.3548</v>
      </c>
      <c r="O63" s="83">
        <f t="shared" si="30"/>
        <v>203963.32120499999</v>
      </c>
      <c r="P63" s="17">
        <f t="shared" si="30"/>
        <v>203963.32120499999</v>
      </c>
    </row>
    <row r="64" spans="1:16" ht="14.4" x14ac:dyDescent="0.3">
      <c r="A64" s="103"/>
    </row>
    <row r="65" spans="1:9" ht="15" customHeight="1" x14ac:dyDescent="0.3">
      <c r="B65" s="11" t="str">
        <f>B4</f>
        <v>Jaar 1</v>
      </c>
      <c r="C65" s="11" t="str">
        <f t="shared" ref="C65:D65" si="31">C4</f>
        <v>Jaar 2</v>
      </c>
      <c r="D65" s="11" t="str">
        <f t="shared" si="31"/>
        <v>Jaar 3</v>
      </c>
    </row>
    <row r="66" spans="1:9" ht="15" customHeight="1" x14ac:dyDescent="0.3">
      <c r="A66" s="6" t="s">
        <v>132</v>
      </c>
      <c r="B66" s="8">
        <f>B59</f>
        <v>46949.773941834806</v>
      </c>
      <c r="C66" s="8">
        <f>C59</f>
        <v>43651.580940515014</v>
      </c>
      <c r="D66" s="8">
        <f>D59</f>
        <v>51631.805470153718</v>
      </c>
    </row>
    <row r="67" spans="1:9" ht="15" customHeight="1" x14ac:dyDescent="0.3">
      <c r="A67" s="6" t="s">
        <v>77</v>
      </c>
      <c r="B67" s="9"/>
      <c r="C67" s="9">
        <f>B71</f>
        <v>46949.773941834806</v>
      </c>
      <c r="D67" s="9">
        <f>C71</f>
        <v>90601.354882349813</v>
      </c>
    </row>
    <row r="68" spans="1:9" s="10" customFormat="1" ht="15" customHeight="1" x14ac:dyDescent="0.3">
      <c r="A68" s="145" t="s">
        <v>133</v>
      </c>
      <c r="B68" s="127">
        <f>B66+B67</f>
        <v>46949.773941834806</v>
      </c>
      <c r="C68" s="127">
        <f>C66+C67</f>
        <v>90601.354882349813</v>
      </c>
      <c r="D68" s="127">
        <f>D66+D67</f>
        <v>142233.16035250353</v>
      </c>
      <c r="E68" s="20"/>
      <c r="G68" s="20"/>
      <c r="H68" s="20"/>
      <c r="I68" s="20"/>
    </row>
    <row r="69" spans="1:9" ht="15" customHeight="1" x14ac:dyDescent="0.3">
      <c r="A69" s="6" t="s">
        <v>134</v>
      </c>
      <c r="B69" s="8"/>
      <c r="C69" s="8"/>
      <c r="D69" s="8"/>
    </row>
    <row r="70" spans="1:9" ht="15" customHeight="1" x14ac:dyDescent="0.3">
      <c r="A70" s="6" t="s">
        <v>78</v>
      </c>
      <c r="B70" s="9"/>
      <c r="C70" s="9"/>
      <c r="D70" s="9"/>
    </row>
    <row r="71" spans="1:9" ht="15" customHeight="1" x14ac:dyDescent="0.3">
      <c r="A71" s="12" t="s">
        <v>79</v>
      </c>
      <c r="B71" s="9">
        <f>B68-B70</f>
        <v>46949.773941834806</v>
      </c>
      <c r="C71" s="9">
        <f>C68-C70</f>
        <v>90601.354882349813</v>
      </c>
      <c r="D71" s="9">
        <f>D68-D70</f>
        <v>142233.16035250353</v>
      </c>
    </row>
    <row r="72" spans="1:9" ht="15" customHeight="1" x14ac:dyDescent="0.3">
      <c r="A72" s="6" t="s">
        <v>135</v>
      </c>
      <c r="B72" s="9"/>
      <c r="C72" s="9"/>
      <c r="D72" s="9"/>
    </row>
    <row r="73" spans="1:9" ht="15" customHeight="1" x14ac:dyDescent="0.3">
      <c r="A73" s="6" t="s">
        <v>136</v>
      </c>
      <c r="B73" s="9"/>
      <c r="C73" s="9"/>
      <c r="D73" s="9"/>
    </row>
    <row r="74" spans="1:9" ht="15" customHeight="1" x14ac:dyDescent="0.3">
      <c r="A74" s="6" t="s">
        <v>137</v>
      </c>
      <c r="B74" s="9"/>
      <c r="C74" s="9"/>
      <c r="D74" s="9"/>
    </row>
    <row r="75" spans="1:9" s="10" customFormat="1" ht="15" customHeight="1" x14ac:dyDescent="0.3">
      <c r="A75" s="30" t="s">
        <v>138</v>
      </c>
      <c r="B75" s="11">
        <f>SUM(B69:B74)</f>
        <v>46949.773941834806</v>
      </c>
      <c r="C75" s="11">
        <f t="shared" ref="C75:D75" si="32">SUM(C69:C74)</f>
        <v>90601.354882349813</v>
      </c>
      <c r="D75" s="11">
        <f t="shared" si="32"/>
        <v>142233.16035250353</v>
      </c>
      <c r="E75" s="20"/>
      <c r="G75" s="20"/>
      <c r="H75" s="20"/>
      <c r="I75" s="20"/>
    </row>
  </sheetData>
  <sheetProtection selectLockedCells="1" selectUnlockedCells="1"/>
  <mergeCells count="6">
    <mergeCell ref="A4:A5"/>
    <mergeCell ref="M4:N4"/>
    <mergeCell ref="O4:P4"/>
    <mergeCell ref="D4:E4"/>
    <mergeCell ref="G4:H4"/>
    <mergeCell ref="K4:L4"/>
  </mergeCells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59"/>
  <sheetViews>
    <sheetView workbookViewId="0">
      <selection activeCell="A62" sqref="A62"/>
    </sheetView>
  </sheetViews>
  <sheetFormatPr defaultColWidth="9.21875" defaultRowHeight="13.8" x14ac:dyDescent="0.3"/>
  <cols>
    <col min="1" max="1" width="36.44140625" style="6" customWidth="1"/>
    <col min="2" max="2" width="15" style="6" hidden="1" customWidth="1"/>
    <col min="3" max="3" width="10.77734375" style="6" customWidth="1"/>
    <col min="4" max="4" width="15" style="6" hidden="1" customWidth="1"/>
    <col min="5" max="5" width="10.77734375" style="6" customWidth="1"/>
    <col min="6" max="6" width="14" style="6" hidden="1" customWidth="1"/>
    <col min="7" max="7" width="10.77734375" style="6" customWidth="1"/>
    <col min="8" max="8" width="6.5546875" style="6" customWidth="1"/>
    <col min="9" max="10" width="10.77734375" style="6" customWidth="1"/>
    <col min="11" max="12" width="13.77734375" style="6" customWidth="1"/>
    <col min="13" max="16384" width="9.21875" style="6"/>
  </cols>
  <sheetData>
    <row r="1" spans="1:12" ht="15.6" x14ac:dyDescent="0.3">
      <c r="A1" s="104" t="str">
        <f>PASSIVA!A1</f>
        <v>VDO</v>
      </c>
    </row>
    <row r="2" spans="1:12" ht="14.4" x14ac:dyDescent="0.3">
      <c r="A2" s="111" t="s">
        <v>31</v>
      </c>
    </row>
    <row r="3" spans="1:12" ht="15" customHeight="1" x14ac:dyDescent="0.3">
      <c r="A3" s="10"/>
      <c r="C3" s="333" t="s">
        <v>238</v>
      </c>
      <c r="D3" s="334"/>
      <c r="E3" s="334"/>
      <c r="F3" s="334"/>
      <c r="G3" s="335"/>
      <c r="I3" s="333" t="s">
        <v>237</v>
      </c>
      <c r="J3" s="334"/>
      <c r="K3" s="334"/>
      <c r="L3" s="335"/>
    </row>
    <row r="4" spans="1:12" s="16" customFormat="1" ht="15" customHeight="1" x14ac:dyDescent="0.3">
      <c r="A4" s="39"/>
      <c r="B4" s="330" t="str">
        <f>PASSIVA!B4</f>
        <v>Jaar 1</v>
      </c>
      <c r="C4" s="330"/>
      <c r="D4" s="330" t="str">
        <f>PASSIVA!D4</f>
        <v>Jaar 2</v>
      </c>
      <c r="E4" s="330"/>
      <c r="F4" s="330" t="str">
        <f>PASSIVA!F4</f>
        <v>Jaar 3</v>
      </c>
      <c r="G4" s="330"/>
      <c r="I4" s="322" t="s">
        <v>140</v>
      </c>
      <c r="J4" s="323"/>
      <c r="K4" s="330" t="s">
        <v>260</v>
      </c>
      <c r="L4" s="330"/>
    </row>
    <row r="5" spans="1:12" x14ac:dyDescent="0.3">
      <c r="A5" s="145" t="str">
        <f>RESULTAAT!A4</f>
        <v>BEDRIJFSOPBRENGSTEN</v>
      </c>
      <c r="B5" s="29">
        <f>B8+B12+B15</f>
        <v>945000</v>
      </c>
      <c r="C5" s="11"/>
      <c r="D5" s="100">
        <f>D8+D12+D15</f>
        <v>976500</v>
      </c>
      <c r="E5" s="52"/>
      <c r="F5" s="11">
        <f>F8+F12+F15</f>
        <v>1025325</v>
      </c>
      <c r="G5" s="11"/>
      <c r="I5" s="127">
        <f>(D5-B5)/B5*100</f>
        <v>3.3333333333333335</v>
      </c>
      <c r="J5" s="130">
        <f>(F5-D5)/D5*100</f>
        <v>5</v>
      </c>
      <c r="K5" s="131" t="s">
        <v>141</v>
      </c>
      <c r="L5" s="133" t="s">
        <v>142</v>
      </c>
    </row>
    <row r="6" spans="1:12" ht="7.5" customHeight="1" x14ac:dyDescent="0.3">
      <c r="A6" s="81"/>
      <c r="B6" s="26"/>
      <c r="C6" s="9"/>
      <c r="D6" s="7"/>
      <c r="E6" s="99"/>
      <c r="F6" s="9"/>
      <c r="G6" s="9"/>
      <c r="I6" s="15"/>
      <c r="J6" s="117"/>
      <c r="K6" s="8"/>
      <c r="L6" s="8"/>
    </row>
    <row r="7" spans="1:12" s="5" customFormat="1" ht="15.75" customHeight="1" x14ac:dyDescent="0.3">
      <c r="A7" s="25" t="str">
        <f>RESULTAAT!A7</f>
        <v>Recurrente Bedrijfsopbrengsten</v>
      </c>
      <c r="B7" s="40">
        <f>B8+B12</f>
        <v>945000</v>
      </c>
      <c r="C7" s="155">
        <v>100</v>
      </c>
      <c r="D7" s="264">
        <f>D8+D12</f>
        <v>976500</v>
      </c>
      <c r="E7" s="153">
        <v>100</v>
      </c>
      <c r="F7" s="154">
        <f>F8+F12</f>
        <v>1025325</v>
      </c>
      <c r="G7" s="155">
        <v>100</v>
      </c>
      <c r="H7" s="35"/>
      <c r="I7" s="106">
        <f t="shared" ref="I7:I59" si="0">(D7-B7)/B7*100</f>
        <v>3.3333333333333335</v>
      </c>
      <c r="J7" s="116">
        <f t="shared" ref="J7:J59" si="1">(F7-D7)/D7*100</f>
        <v>5</v>
      </c>
      <c r="K7" s="106">
        <f>RESULTAAT!C7-RESULTAAT!B7</f>
        <v>31500</v>
      </c>
      <c r="L7" s="106">
        <f>RESULTAAT!D7-RESULTAAT!C7</f>
        <v>48825</v>
      </c>
    </row>
    <row r="8" spans="1:12" ht="15.75" customHeight="1" x14ac:dyDescent="0.3">
      <c r="A8" s="25" t="str">
        <f>RESULTAAT!A8</f>
        <v xml:space="preserve">    Omzet</v>
      </c>
      <c r="B8" s="40">
        <f>SUM(B9:B10)</f>
        <v>930000</v>
      </c>
      <c r="C8" s="92"/>
      <c r="D8" s="18">
        <f>SUM(D9:D10)</f>
        <v>976500</v>
      </c>
      <c r="E8" s="95"/>
      <c r="F8" s="92">
        <f>SUM(F9:F10)</f>
        <v>1025325</v>
      </c>
      <c r="G8" s="9"/>
      <c r="I8" s="92">
        <f t="shared" si="0"/>
        <v>5</v>
      </c>
      <c r="J8" s="18">
        <f t="shared" si="1"/>
        <v>5</v>
      </c>
      <c r="K8" s="92">
        <f>RESULTAAT!C8-RESULTAAT!B8</f>
        <v>46500</v>
      </c>
      <c r="L8" s="92">
        <f>RESULTAAT!D8-RESULTAAT!C8</f>
        <v>48825</v>
      </c>
    </row>
    <row r="9" spans="1:12" ht="15" customHeight="1" x14ac:dyDescent="0.3">
      <c r="A9" s="6" t="str">
        <f>RESULTAAT!A9</f>
        <v xml:space="preserve">Omzet </v>
      </c>
      <c r="B9" s="33">
        <f>RESULTAAT!B9</f>
        <v>930000</v>
      </c>
      <c r="C9" s="9"/>
      <c r="D9" s="7">
        <f>RESULTAAT!C9</f>
        <v>976500</v>
      </c>
      <c r="E9" s="99"/>
      <c r="F9" s="9">
        <f>RESULTAAT!D9</f>
        <v>1025325</v>
      </c>
      <c r="G9" s="9"/>
      <c r="I9" s="9">
        <f t="shared" si="0"/>
        <v>5</v>
      </c>
      <c r="J9" s="7">
        <f t="shared" si="1"/>
        <v>5</v>
      </c>
      <c r="K9" s="9">
        <f>RESULTAAT!C9-RESULTAAT!B9</f>
        <v>46500</v>
      </c>
      <c r="L9" s="9">
        <f>RESULTAAT!D9-RESULTAAT!C9</f>
        <v>48825</v>
      </c>
    </row>
    <row r="10" spans="1:12" ht="15" customHeight="1" x14ac:dyDescent="0.3">
      <c r="A10" s="6" t="str">
        <f>RESULTAAT!A10</f>
        <v xml:space="preserve">Omzet </v>
      </c>
      <c r="B10" s="33">
        <f>RESULTAAT!B10</f>
        <v>0</v>
      </c>
      <c r="C10" s="9"/>
      <c r="D10" s="7">
        <f>RESULTAAT!C10</f>
        <v>0</v>
      </c>
      <c r="E10" s="99"/>
      <c r="F10" s="9">
        <f>RESULTAAT!D10</f>
        <v>0</v>
      </c>
      <c r="G10" s="9"/>
      <c r="I10" s="9" t="e">
        <f t="shared" si="0"/>
        <v>#DIV/0!</v>
      </c>
      <c r="J10" s="7" t="e">
        <f t="shared" si="1"/>
        <v>#DIV/0!</v>
      </c>
      <c r="K10" s="9">
        <f>RESULTAAT!C10-RESULTAAT!B10</f>
        <v>0</v>
      </c>
      <c r="L10" s="9">
        <f>RESULTAAT!D10-RESULTAAT!C10</f>
        <v>0</v>
      </c>
    </row>
    <row r="11" spans="1:12" ht="6.75" customHeight="1" x14ac:dyDescent="0.3">
      <c r="B11" s="33"/>
      <c r="C11" s="9"/>
      <c r="D11" s="7"/>
      <c r="E11" s="99"/>
      <c r="F11" s="9"/>
      <c r="G11" s="9"/>
      <c r="I11" s="92"/>
      <c r="J11" s="18"/>
      <c r="K11" s="92"/>
      <c r="L11" s="92"/>
    </row>
    <row r="12" spans="1:12" ht="15" customHeight="1" x14ac:dyDescent="0.3">
      <c r="A12" s="25" t="str">
        <f>RESULTAAT!A12</f>
        <v xml:space="preserve">    Overige Bedrijfsopbrengsten</v>
      </c>
      <c r="B12" s="40">
        <f>B13</f>
        <v>15000</v>
      </c>
      <c r="C12" s="92"/>
      <c r="D12" s="18">
        <f>D13</f>
        <v>0</v>
      </c>
      <c r="E12" s="95"/>
      <c r="F12" s="92">
        <f>F13</f>
        <v>0</v>
      </c>
      <c r="G12" s="9"/>
      <c r="I12" s="92">
        <f t="shared" si="0"/>
        <v>-100</v>
      </c>
      <c r="J12" s="18" t="e">
        <f t="shared" si="1"/>
        <v>#DIV/0!</v>
      </c>
      <c r="K12" s="92">
        <f>RESULTAAT!C12-RESULTAAT!B12</f>
        <v>-15000</v>
      </c>
      <c r="L12" s="92">
        <f>RESULTAAT!D12-RESULTAAT!C12</f>
        <v>0</v>
      </c>
    </row>
    <row r="13" spans="1:12" ht="15" customHeight="1" x14ac:dyDescent="0.3">
      <c r="A13" s="6" t="str">
        <f>RESULTAAT!A14</f>
        <v>Meerwaarde realisatie vaste activa</v>
      </c>
      <c r="B13" s="33">
        <f>RESULTAAT!B13</f>
        <v>15000</v>
      </c>
      <c r="C13" s="9"/>
      <c r="D13" s="7">
        <f>RESULTAAT!C13</f>
        <v>0</v>
      </c>
      <c r="E13" s="99"/>
      <c r="F13" s="9">
        <f>RESULTAAT!D13</f>
        <v>0</v>
      </c>
      <c r="G13" s="9"/>
      <c r="I13" s="9">
        <f t="shared" si="0"/>
        <v>-100</v>
      </c>
      <c r="J13" s="7" t="e">
        <f t="shared" si="1"/>
        <v>#DIV/0!</v>
      </c>
      <c r="K13" s="9">
        <f>RESULTAAT!C13-RESULTAAT!B13</f>
        <v>-15000</v>
      </c>
      <c r="L13" s="9">
        <f>RESULTAAT!D13-RESULTAAT!C13</f>
        <v>0</v>
      </c>
    </row>
    <row r="14" spans="1:12" ht="6.75" customHeight="1" x14ac:dyDescent="0.3">
      <c r="B14" s="33"/>
      <c r="C14" s="9"/>
      <c r="D14" s="7"/>
      <c r="E14" s="99"/>
      <c r="F14" s="9"/>
      <c r="G14" s="9"/>
      <c r="I14" s="92"/>
      <c r="J14" s="18"/>
      <c r="K14" s="92"/>
      <c r="L14" s="92"/>
    </row>
    <row r="15" spans="1:12" ht="15" customHeight="1" x14ac:dyDescent="0.3">
      <c r="A15" s="25" t="str">
        <f>RESULTAAT!A15</f>
        <v>Niet recurrente opbrengsten</v>
      </c>
      <c r="B15" s="40">
        <f>RESULTAAT!B15</f>
        <v>0</v>
      </c>
      <c r="C15" s="92"/>
      <c r="D15" s="18">
        <f>RESULTAAT!C15</f>
        <v>0</v>
      </c>
      <c r="E15" s="95"/>
      <c r="F15" s="92">
        <f>RESULTAAT!D15</f>
        <v>0</v>
      </c>
      <c r="G15" s="9"/>
      <c r="I15" s="92" t="e">
        <f t="shared" si="0"/>
        <v>#DIV/0!</v>
      </c>
      <c r="J15" s="18" t="e">
        <f t="shared" si="1"/>
        <v>#DIV/0!</v>
      </c>
      <c r="K15" s="92">
        <f>RESULTAAT!C15-RESULTAAT!B15</f>
        <v>0</v>
      </c>
      <c r="L15" s="92">
        <f>RESULTAAT!D15-RESULTAAT!C15</f>
        <v>0</v>
      </c>
    </row>
    <row r="16" spans="1:12" ht="8.25" customHeight="1" x14ac:dyDescent="0.3">
      <c r="B16" s="33"/>
      <c r="C16" s="9"/>
      <c r="D16" s="7"/>
      <c r="E16" s="99"/>
      <c r="F16" s="9"/>
      <c r="G16" s="9"/>
      <c r="I16" s="84"/>
      <c r="J16" s="118"/>
      <c r="K16" s="92"/>
      <c r="L16" s="92"/>
    </row>
    <row r="17" spans="1:12" ht="15" customHeight="1" x14ac:dyDescent="0.3">
      <c r="A17" s="265" t="str">
        <f>RESULTAAT!A17</f>
        <v>BEDRIJFSKOSTEN</v>
      </c>
      <c r="B17" s="262">
        <f>B19+B24+B26+B28+B33+B37</f>
        <v>869418.83199999994</v>
      </c>
      <c r="C17" s="127">
        <f>RESULTAAT!B17/RESULTAAT!B$7*100</f>
        <v>92.001992804232799</v>
      </c>
      <c r="D17" s="130">
        <f>D19+D24+D26+D28+D33+D37</f>
        <v>906372.06464</v>
      </c>
      <c r="E17" s="128">
        <f>D17/D7*100</f>
        <v>92.818439799283155</v>
      </c>
      <c r="F17" s="127">
        <f>F19+F24+F26+F28+F33+F37</f>
        <v>945704.80753280001</v>
      </c>
      <c r="G17" s="127">
        <f>F17/F7*100</f>
        <v>92.234638532445814</v>
      </c>
      <c r="I17" s="127">
        <f t="shared" si="0"/>
        <v>4.2503372689769465</v>
      </c>
      <c r="J17" s="130">
        <f t="shared" si="1"/>
        <v>4.3395802261869694</v>
      </c>
      <c r="K17" s="127">
        <f>RESULTAAT!C17-RESULTAAT!B17</f>
        <v>36953.23264000006</v>
      </c>
      <c r="L17" s="127">
        <f>RESULTAAT!D17-RESULTAAT!C17</f>
        <v>39332.742892800015</v>
      </c>
    </row>
    <row r="18" spans="1:12" ht="6.75" customHeight="1" x14ac:dyDescent="0.3">
      <c r="B18" s="33"/>
      <c r="C18" s="9"/>
      <c r="D18" s="7"/>
      <c r="E18" s="99"/>
      <c r="F18" s="9"/>
      <c r="G18" s="8"/>
      <c r="I18" s="15"/>
      <c r="J18" s="117"/>
      <c r="K18" s="92"/>
      <c r="L18" s="92"/>
    </row>
    <row r="19" spans="1:12" ht="15" customHeight="1" x14ac:dyDescent="0.3">
      <c r="A19" s="25" t="str">
        <f>RESULTAAT!A19</f>
        <v>Aankopen</v>
      </c>
      <c r="B19" s="40">
        <f>SUM(B20:B22)</f>
        <v>558000</v>
      </c>
      <c r="C19" s="92">
        <f>RESULTAAT!B19/RESULTAAT!B$7*100</f>
        <v>59.047619047619051</v>
      </c>
      <c r="D19" s="18">
        <f>SUM(D20:D22)</f>
        <v>585900</v>
      </c>
      <c r="E19" s="95">
        <f>D19/D$7*100</f>
        <v>60</v>
      </c>
      <c r="F19" s="92">
        <f>SUM(F20:F22)</f>
        <v>615195</v>
      </c>
      <c r="G19" s="92">
        <f>F19/F$7*100</f>
        <v>60</v>
      </c>
      <c r="I19" s="92">
        <f t="shared" si="0"/>
        <v>5</v>
      </c>
      <c r="J19" s="18">
        <f t="shared" si="1"/>
        <v>5</v>
      </c>
      <c r="K19" s="92">
        <f>RESULTAAT!C19-RESULTAAT!B19</f>
        <v>27900</v>
      </c>
      <c r="L19" s="92">
        <f>RESULTAAT!D19-RESULTAAT!C19</f>
        <v>29295</v>
      </c>
    </row>
    <row r="20" spans="1:12" ht="15" customHeight="1" x14ac:dyDescent="0.3">
      <c r="A20" s="6" t="str">
        <f>RESULTAAT!A20</f>
        <v>Aankoop Grondstoffen</v>
      </c>
      <c r="B20" s="33">
        <f>RESULTAAT!B20</f>
        <v>0</v>
      </c>
      <c r="C20" s="92">
        <f>RESULTAAT!B20/RESULTAAT!B$7*100</f>
        <v>0</v>
      </c>
      <c r="D20" s="7">
        <f>RESULTAAT!C20</f>
        <v>0</v>
      </c>
      <c r="E20" s="99">
        <f>D20/D$7*100</f>
        <v>0</v>
      </c>
      <c r="F20" s="9">
        <f>RESULTAAT!D20</f>
        <v>0</v>
      </c>
      <c r="G20" s="9">
        <f>F20/F$7*100</f>
        <v>0</v>
      </c>
      <c r="I20" s="9" t="e">
        <f t="shared" si="0"/>
        <v>#DIV/0!</v>
      </c>
      <c r="J20" s="7" t="e">
        <f t="shared" si="1"/>
        <v>#DIV/0!</v>
      </c>
      <c r="K20" s="9">
        <f>RESULTAAT!C20-RESULTAAT!B20</f>
        <v>0</v>
      </c>
      <c r="L20" s="9">
        <f>RESULTAAT!D20-RESULTAAT!C20</f>
        <v>0</v>
      </c>
    </row>
    <row r="21" spans="1:12" ht="15" customHeight="1" x14ac:dyDescent="0.3">
      <c r="A21" s="6" t="str">
        <f>RESULTAAT!A21</f>
        <v>aankoop Handelsgoederen</v>
      </c>
      <c r="B21" s="33">
        <f>RESULTAAT!B21</f>
        <v>558000</v>
      </c>
      <c r="C21" s="92">
        <f>RESULTAAT!B21/RESULTAAT!B$7*100</f>
        <v>59.047619047619051</v>
      </c>
      <c r="D21" s="7">
        <f>RESULTAAT!C21</f>
        <v>585900</v>
      </c>
      <c r="E21" s="99">
        <f t="shared" ref="E21:E37" si="2">D21/D$7*100</f>
        <v>60</v>
      </c>
      <c r="F21" s="9">
        <f>RESULTAAT!D21</f>
        <v>615195</v>
      </c>
      <c r="G21" s="9">
        <f t="shared" ref="G21:G22" si="3">F21/F$7*100</f>
        <v>60</v>
      </c>
      <c r="I21" s="9">
        <f t="shared" si="0"/>
        <v>5</v>
      </c>
      <c r="J21" s="7">
        <f t="shared" si="1"/>
        <v>5</v>
      </c>
      <c r="K21" s="9">
        <f>RESULTAAT!C21-RESULTAAT!B21</f>
        <v>27900</v>
      </c>
      <c r="L21" s="9">
        <f>RESULTAAT!D21-RESULTAAT!C21</f>
        <v>29295</v>
      </c>
    </row>
    <row r="22" spans="1:12" ht="15" customHeight="1" x14ac:dyDescent="0.3">
      <c r="A22" s="6" t="str">
        <f>RESULTAAT!A22</f>
        <v>Voorraadwijziging</v>
      </c>
      <c r="B22" s="33">
        <f>RESULTAAT!B22</f>
        <v>0</v>
      </c>
      <c r="C22" s="92">
        <f>RESULTAAT!B22/RESULTAAT!B$7*100</f>
        <v>0</v>
      </c>
      <c r="D22" s="7">
        <f>RESULTAAT!C22</f>
        <v>0</v>
      </c>
      <c r="E22" s="99">
        <f t="shared" si="2"/>
        <v>0</v>
      </c>
      <c r="F22" s="9">
        <f>RESULTAAT!D22</f>
        <v>0</v>
      </c>
      <c r="G22" s="9">
        <f t="shared" si="3"/>
        <v>0</v>
      </c>
      <c r="I22" s="9" t="e">
        <f t="shared" si="0"/>
        <v>#DIV/0!</v>
      </c>
      <c r="J22" s="7" t="e">
        <f t="shared" si="1"/>
        <v>#DIV/0!</v>
      </c>
      <c r="K22" s="9">
        <f>RESULTAAT!C22-RESULTAAT!B22</f>
        <v>0</v>
      </c>
      <c r="L22" s="9">
        <f>RESULTAAT!D22-RESULTAAT!C22</f>
        <v>0</v>
      </c>
    </row>
    <row r="23" spans="1:12" ht="7.5" customHeight="1" x14ac:dyDescent="0.3">
      <c r="B23" s="33"/>
      <c r="C23" s="92"/>
      <c r="D23" s="7"/>
      <c r="E23" s="95"/>
      <c r="F23" s="9"/>
      <c r="G23" s="92"/>
      <c r="I23" s="92"/>
      <c r="J23" s="18"/>
      <c r="K23" s="92"/>
      <c r="L23" s="92"/>
    </row>
    <row r="24" spans="1:12" ht="15" customHeight="1" x14ac:dyDescent="0.3">
      <c r="A24" s="25" t="str">
        <f>RESULTAAT!A24</f>
        <v>Diensten en Div. Goederen</v>
      </c>
      <c r="B24" s="40">
        <f>RESULTAAT!B24</f>
        <v>178523.2</v>
      </c>
      <c r="C24" s="92">
        <f>RESULTAAT!B24/RESULTAAT!B$7*100</f>
        <v>18.891343915343917</v>
      </c>
      <c r="D24" s="18">
        <f>RESULTAAT!C24</f>
        <v>185711.52000000002</v>
      </c>
      <c r="E24" s="95">
        <f t="shared" si="2"/>
        <v>19.018076804915516</v>
      </c>
      <c r="F24" s="92">
        <f>RESULTAAT!D24</f>
        <v>193845.64200000002</v>
      </c>
      <c r="G24" s="92">
        <f t="shared" ref="G24" si="4">F24/F$7*100</f>
        <v>18.905775437056548</v>
      </c>
      <c r="I24" s="92">
        <f t="shared" si="0"/>
        <v>4.0265466897299662</v>
      </c>
      <c r="J24" s="18">
        <f t="shared" si="1"/>
        <v>4.3799770741201209</v>
      </c>
      <c r="K24" s="92">
        <f>RESULTAAT!C24-RESULTAAT!B24</f>
        <v>7188.320000000007</v>
      </c>
      <c r="L24" s="92">
        <f>RESULTAAT!D24-RESULTAAT!C24</f>
        <v>8134.122000000003</v>
      </c>
    </row>
    <row r="25" spans="1:12" ht="7.5" customHeight="1" x14ac:dyDescent="0.3">
      <c r="B25" s="40"/>
      <c r="C25" s="92"/>
      <c r="D25" s="18"/>
      <c r="E25" s="95"/>
      <c r="F25" s="92"/>
      <c r="G25" s="92"/>
      <c r="I25" s="92"/>
      <c r="J25" s="18"/>
      <c r="K25" s="92"/>
      <c r="L25" s="92"/>
    </row>
    <row r="26" spans="1:12" ht="15" customHeight="1" x14ac:dyDescent="0.3">
      <c r="A26" s="25" t="str">
        <f>RESULTAAT!A26</f>
        <v>Personeelskosten</v>
      </c>
      <c r="B26" s="40">
        <f>RESULTAAT!B26</f>
        <v>86195.631999999998</v>
      </c>
      <c r="C26" s="92">
        <f>RESULTAAT!B26/RESULTAAT!B$7*100</f>
        <v>9.1212308994708984</v>
      </c>
      <c r="D26" s="18">
        <f>RESULTAAT!C26</f>
        <v>87919.544639999993</v>
      </c>
      <c r="E26" s="95">
        <f t="shared" si="2"/>
        <v>9.0035375975422429</v>
      </c>
      <c r="F26" s="92">
        <f>RESULTAAT!D26</f>
        <v>89677.935532800009</v>
      </c>
      <c r="G26" s="92">
        <f t="shared" ref="G26" si="5">F26/F$7*100</f>
        <v>8.7462936661838935</v>
      </c>
      <c r="I26" s="92">
        <f t="shared" si="0"/>
        <v>1.9999999999999942</v>
      </c>
      <c r="J26" s="18">
        <f t="shared" si="1"/>
        <v>2.0000000000000187</v>
      </c>
      <c r="K26" s="92">
        <f>RESULTAAT!C26-RESULTAAT!B26</f>
        <v>1723.912639999995</v>
      </c>
      <c r="L26" s="92">
        <f>RESULTAAT!D26-RESULTAAT!C26</f>
        <v>1758.3908928000164</v>
      </c>
    </row>
    <row r="27" spans="1:12" ht="6.75" customHeight="1" x14ac:dyDescent="0.3">
      <c r="B27" s="33"/>
      <c r="C27" s="92"/>
      <c r="D27" s="7"/>
      <c r="E27" s="95"/>
      <c r="F27" s="9"/>
      <c r="G27" s="92"/>
      <c r="I27" s="92"/>
      <c r="J27" s="18"/>
      <c r="K27" s="92"/>
      <c r="L27" s="92"/>
    </row>
    <row r="28" spans="1:12" ht="15" customHeight="1" x14ac:dyDescent="0.3">
      <c r="A28" s="25" t="str">
        <f>RESULTAAT!A28</f>
        <v>Afschrijvingen en waardeverminderingen</v>
      </c>
      <c r="B28" s="40">
        <f>B29+B30+B31</f>
        <v>42000</v>
      </c>
      <c r="C28" s="92">
        <f>RESULTAAT!B28/RESULTAAT!B$7*100</f>
        <v>4.4444444444444446</v>
      </c>
      <c r="D28" s="18">
        <f>D29+D30+D31</f>
        <v>42000</v>
      </c>
      <c r="E28" s="95">
        <f t="shared" si="2"/>
        <v>4.3010752688172049</v>
      </c>
      <c r="F28" s="92">
        <f>F29+F30+F31</f>
        <v>42000</v>
      </c>
      <c r="G28" s="92">
        <f t="shared" ref="G28:G31" si="6">F28/F$7*100</f>
        <v>4.0962621607782896</v>
      </c>
      <c r="I28" s="92">
        <f t="shared" si="0"/>
        <v>0</v>
      </c>
      <c r="J28" s="18">
        <f t="shared" si="1"/>
        <v>0</v>
      </c>
      <c r="K28" s="92">
        <f>RESULTAAT!C28-RESULTAAT!B28</f>
        <v>0</v>
      </c>
      <c r="L28" s="92">
        <f>RESULTAAT!D28-RESULTAAT!C28</f>
        <v>0</v>
      </c>
    </row>
    <row r="29" spans="1:12" ht="15" customHeight="1" x14ac:dyDescent="0.3">
      <c r="A29" s="6" t="str">
        <f>RESULTAAT!A29</f>
        <v>Afschrijvingen</v>
      </c>
      <c r="B29" s="33">
        <f>RESULTAAT!B29</f>
        <v>42000</v>
      </c>
      <c r="C29" s="92">
        <f>RESULTAAT!B29/RESULTAAT!B$7*100</f>
        <v>4.4444444444444446</v>
      </c>
      <c r="D29" s="7">
        <f>RESULTAAT!C29</f>
        <v>42000</v>
      </c>
      <c r="E29" s="99">
        <f t="shared" si="2"/>
        <v>4.3010752688172049</v>
      </c>
      <c r="F29" s="9">
        <f>RESULTAAT!D29</f>
        <v>42000</v>
      </c>
      <c r="G29" s="9">
        <f t="shared" si="6"/>
        <v>4.0962621607782896</v>
      </c>
      <c r="I29" s="9">
        <f t="shared" si="0"/>
        <v>0</v>
      </c>
      <c r="J29" s="7">
        <f t="shared" si="1"/>
        <v>0</v>
      </c>
      <c r="K29" s="9">
        <f>RESULTAAT!C29-RESULTAAT!B29</f>
        <v>0</v>
      </c>
      <c r="L29" s="9">
        <f>RESULTAAT!D29-RESULTAAT!C29</f>
        <v>0</v>
      </c>
    </row>
    <row r="30" spans="1:12" ht="15" customHeight="1" x14ac:dyDescent="0.3">
      <c r="A30" s="6" t="str">
        <f>RESULTAAT!A30</f>
        <v>Waardeverminderingen</v>
      </c>
      <c r="B30" s="33">
        <f>RESULTAAT!B30</f>
        <v>0</v>
      </c>
      <c r="C30" s="92">
        <f>RESULTAAT!B30/RESULTAAT!B$7*100</f>
        <v>0</v>
      </c>
      <c r="D30" s="7">
        <f>RESULTAAT!C30</f>
        <v>0</v>
      </c>
      <c r="E30" s="99">
        <f t="shared" si="2"/>
        <v>0</v>
      </c>
      <c r="F30" s="9">
        <f>RESULTAAT!D30</f>
        <v>0</v>
      </c>
      <c r="G30" s="9">
        <f t="shared" si="6"/>
        <v>0</v>
      </c>
      <c r="I30" s="9" t="e">
        <f t="shared" si="0"/>
        <v>#DIV/0!</v>
      </c>
      <c r="J30" s="7" t="e">
        <f t="shared" si="1"/>
        <v>#DIV/0!</v>
      </c>
      <c r="K30" s="9">
        <f>RESULTAAT!C30-RESULTAAT!B30</f>
        <v>0</v>
      </c>
      <c r="L30" s="9">
        <f>RESULTAAT!D30-RESULTAAT!C30</f>
        <v>0</v>
      </c>
    </row>
    <row r="31" spans="1:12" ht="15" customHeight="1" x14ac:dyDescent="0.3">
      <c r="A31" s="6" t="str">
        <f>RESULTAAT!A31</f>
        <v>Voorzieningen</v>
      </c>
      <c r="B31" s="33">
        <f>RESULTAAT!B31</f>
        <v>0</v>
      </c>
      <c r="C31" s="92">
        <f>RESULTAAT!B31/RESULTAAT!B$7*100</f>
        <v>0</v>
      </c>
      <c r="D31" s="7">
        <f>RESULTAAT!C31</f>
        <v>0</v>
      </c>
      <c r="E31" s="99">
        <f t="shared" si="2"/>
        <v>0</v>
      </c>
      <c r="F31" s="9">
        <f>RESULTAAT!D31</f>
        <v>0</v>
      </c>
      <c r="G31" s="9">
        <f t="shared" si="6"/>
        <v>0</v>
      </c>
      <c r="I31" s="9" t="e">
        <f t="shared" si="0"/>
        <v>#DIV/0!</v>
      </c>
      <c r="J31" s="7" t="e">
        <f t="shared" si="1"/>
        <v>#DIV/0!</v>
      </c>
      <c r="K31" s="9">
        <f>RESULTAAT!C31-RESULTAAT!B31</f>
        <v>0</v>
      </c>
      <c r="L31" s="9">
        <f>RESULTAAT!D31-RESULTAAT!C31</f>
        <v>0</v>
      </c>
    </row>
    <row r="32" spans="1:12" ht="6.75" customHeight="1" x14ac:dyDescent="0.3">
      <c r="B32" s="33"/>
      <c r="C32" s="92"/>
      <c r="D32" s="7"/>
      <c r="E32" s="95"/>
      <c r="F32" s="9"/>
      <c r="G32" s="92"/>
      <c r="I32" s="92"/>
      <c r="J32" s="18"/>
      <c r="K32" s="92"/>
      <c r="L32" s="92"/>
    </row>
    <row r="33" spans="1:12" ht="15" customHeight="1" x14ac:dyDescent="0.3">
      <c r="A33" s="25" t="str">
        <f>RESULTAAT!A33</f>
        <v>Overige Bedrijfskosten</v>
      </c>
      <c r="B33" s="40">
        <f>B34+B35</f>
        <v>4700</v>
      </c>
      <c r="C33" s="92">
        <f>RESULTAAT!B33/RESULTAAT!B$7*100</f>
        <v>0.49735449735449738</v>
      </c>
      <c r="D33" s="18">
        <f>D34+D35</f>
        <v>4841</v>
      </c>
      <c r="E33" s="95">
        <f t="shared" si="2"/>
        <v>0.49575012800819251</v>
      </c>
      <c r="F33" s="92">
        <f>F34+F35</f>
        <v>4986.2300000000005</v>
      </c>
      <c r="G33" s="92">
        <f t="shared" ref="G33:G35" si="7">F33/F$7*100</f>
        <v>0.48630726842708416</v>
      </c>
      <c r="I33" s="92">
        <f t="shared" si="0"/>
        <v>3</v>
      </c>
      <c r="J33" s="18">
        <f t="shared" si="1"/>
        <v>3.0000000000000098</v>
      </c>
      <c r="K33" s="92">
        <f>RESULTAAT!C33-RESULTAAT!B33</f>
        <v>141</v>
      </c>
      <c r="L33" s="92">
        <f>RESULTAAT!D33-RESULTAAT!C33</f>
        <v>145.23000000000047</v>
      </c>
    </row>
    <row r="34" spans="1:12" ht="15" customHeight="1" x14ac:dyDescent="0.3">
      <c r="A34" s="6" t="str">
        <f>RESULTAAT!A34</f>
        <v>Bedrijfsbelastingen</v>
      </c>
      <c r="B34" s="33">
        <f>RESULTAAT!B34</f>
        <v>4700</v>
      </c>
      <c r="C34" s="92">
        <f>RESULTAAT!B34/RESULTAAT!B$7*100</f>
        <v>0.49735449735449738</v>
      </c>
      <c r="D34" s="7">
        <f>RESULTAAT!C34</f>
        <v>4841</v>
      </c>
      <c r="E34" s="99">
        <f t="shared" si="2"/>
        <v>0.49575012800819251</v>
      </c>
      <c r="F34" s="9">
        <f>RESULTAAT!D34</f>
        <v>4986.2300000000005</v>
      </c>
      <c r="G34" s="9">
        <f t="shared" si="7"/>
        <v>0.48630726842708416</v>
      </c>
      <c r="I34" s="9">
        <f t="shared" si="0"/>
        <v>3</v>
      </c>
      <c r="J34" s="7">
        <f t="shared" si="1"/>
        <v>3.0000000000000098</v>
      </c>
      <c r="K34" s="9">
        <f>RESULTAAT!C34-RESULTAAT!B34</f>
        <v>141</v>
      </c>
      <c r="L34" s="9">
        <f>RESULTAAT!D34-RESULTAAT!C34</f>
        <v>145.23000000000047</v>
      </c>
    </row>
    <row r="35" spans="1:12" ht="15" customHeight="1" x14ac:dyDescent="0.3">
      <c r="A35" s="6" t="str">
        <f>RESULTAAT!A35</f>
        <v>Minderwaarde verkoop mva</v>
      </c>
      <c r="B35" s="33">
        <f>RESULTAAT!B35</f>
        <v>0</v>
      </c>
      <c r="C35" s="92">
        <f>RESULTAAT!B35/RESULTAAT!B$7*100</f>
        <v>0</v>
      </c>
      <c r="D35" s="7">
        <f>RESULTAAT!C35</f>
        <v>0</v>
      </c>
      <c r="E35" s="99">
        <f t="shared" si="2"/>
        <v>0</v>
      </c>
      <c r="F35" s="9">
        <f>RESULTAAT!D35</f>
        <v>0</v>
      </c>
      <c r="G35" s="9">
        <f t="shared" si="7"/>
        <v>0</v>
      </c>
      <c r="I35" s="9" t="e">
        <f t="shared" si="0"/>
        <v>#DIV/0!</v>
      </c>
      <c r="J35" s="7" t="e">
        <f t="shared" si="1"/>
        <v>#DIV/0!</v>
      </c>
      <c r="K35" s="9">
        <f>RESULTAAT!C35-RESULTAAT!B35</f>
        <v>0</v>
      </c>
      <c r="L35" s="9">
        <f>RESULTAAT!D35-RESULTAAT!C35</f>
        <v>0</v>
      </c>
    </row>
    <row r="36" spans="1:12" ht="6.75" customHeight="1" x14ac:dyDescent="0.3">
      <c r="B36" s="33"/>
      <c r="C36" s="92"/>
      <c r="D36" s="7"/>
      <c r="E36" s="95"/>
      <c r="F36" s="9"/>
      <c r="G36" s="92"/>
      <c r="I36" s="92"/>
      <c r="J36" s="18"/>
      <c r="K36" s="92"/>
      <c r="L36" s="92"/>
    </row>
    <row r="37" spans="1:12" ht="15" customHeight="1" x14ac:dyDescent="0.3">
      <c r="A37" s="25" t="str">
        <f>RESULTAAT!A37</f>
        <v>Niet recurrente bedrijfskosten</v>
      </c>
      <c r="B37" s="33">
        <f>RESULTAAT!B37</f>
        <v>0</v>
      </c>
      <c r="C37" s="92">
        <f>RESULTAAT!B37/RESULTAAT!B$7*100</f>
        <v>0</v>
      </c>
      <c r="D37" s="7">
        <f>RESULTAAT!C37</f>
        <v>0</v>
      </c>
      <c r="E37" s="95">
        <f t="shared" si="2"/>
        <v>0</v>
      </c>
      <c r="F37" s="9">
        <f>RESULTAAT!D37</f>
        <v>0</v>
      </c>
      <c r="G37" s="92">
        <f t="shared" ref="G37" si="8">F37/F$7*100</f>
        <v>0</v>
      </c>
      <c r="I37" s="92" t="e">
        <f t="shared" si="0"/>
        <v>#DIV/0!</v>
      </c>
      <c r="J37" s="18" t="e">
        <f t="shared" si="1"/>
        <v>#DIV/0!</v>
      </c>
      <c r="K37" s="92">
        <f>RESULTAAT!C37-RESULTAAT!B37</f>
        <v>0</v>
      </c>
      <c r="L37" s="92">
        <f>RESULTAAT!D37-RESULTAAT!C37</f>
        <v>0</v>
      </c>
    </row>
    <row r="38" spans="1:12" ht="7.5" customHeight="1" x14ac:dyDescent="0.3">
      <c r="B38" s="33"/>
      <c r="C38" s="9"/>
      <c r="D38" s="7"/>
      <c r="E38" s="99"/>
      <c r="F38" s="9"/>
      <c r="G38" s="83"/>
      <c r="I38" s="84"/>
      <c r="J38" s="118"/>
      <c r="K38" s="92"/>
      <c r="L38" s="92"/>
    </row>
    <row r="39" spans="1:12" ht="15" customHeight="1" x14ac:dyDescent="0.3">
      <c r="A39" s="31" t="str">
        <f>RESULTAAT!A39</f>
        <v>BRUTO TOEGEVOEGDE WAARDE</v>
      </c>
      <c r="B39" s="45">
        <f>B7-B19-B24</f>
        <v>208476.79999999999</v>
      </c>
      <c r="C39" s="11">
        <f>B39/B$7*100</f>
        <v>22.061037037037035</v>
      </c>
      <c r="D39" s="100">
        <f>D7-D19-D24</f>
        <v>204888.47999999998</v>
      </c>
      <c r="E39" s="96">
        <f>D39/D$7*100</f>
        <v>20.981923195084484</v>
      </c>
      <c r="F39" s="11">
        <f>F7-F19-F24</f>
        <v>216284.35799999998</v>
      </c>
      <c r="G39" s="11">
        <f>F39/F$7*100</f>
        <v>21.094224562943456</v>
      </c>
      <c r="I39" s="11">
        <f t="shared" si="0"/>
        <v>-1.7212083071113944</v>
      </c>
      <c r="J39" s="100">
        <f t="shared" si="1"/>
        <v>5.5619906009356885</v>
      </c>
      <c r="K39" s="11">
        <f>RESULTAAT!C39-RESULTAAT!B39</f>
        <v>-3588.320000000007</v>
      </c>
      <c r="L39" s="11">
        <f>RESULTAAT!D39-RESULTAAT!C39</f>
        <v>11395.877999999997</v>
      </c>
    </row>
    <row r="40" spans="1:12" ht="15" customHeight="1" x14ac:dyDescent="0.3">
      <c r="A40" s="31" t="str">
        <f>RESULTAAT!A40</f>
        <v>EBIT</v>
      </c>
      <c r="B40" s="45">
        <f>B5-B17</f>
        <v>75581.168000000063</v>
      </c>
      <c r="C40" s="11">
        <f t="shared" ref="C40:E42" si="9">B40/B$7*100</f>
        <v>7.9980071957672028</v>
      </c>
      <c r="D40" s="100">
        <f>D5-D17</f>
        <v>70127.935360000003</v>
      </c>
      <c r="E40" s="96">
        <f t="shared" si="9"/>
        <v>7.1815602007168469</v>
      </c>
      <c r="F40" s="11">
        <f>F5-F17</f>
        <v>79620.192467199988</v>
      </c>
      <c r="G40" s="11">
        <f t="shared" ref="G40:G42" si="10">F40/F$7*100</f>
        <v>7.7653614675541895</v>
      </c>
      <c r="I40" s="11">
        <f t="shared" si="0"/>
        <v>-7.2150679650783589</v>
      </c>
      <c r="J40" s="100">
        <f t="shared" si="1"/>
        <v>13.535628930855756</v>
      </c>
      <c r="K40" s="11">
        <f>RESULTAAT!C40-RESULTAAT!B40</f>
        <v>-5453.2326400000602</v>
      </c>
      <c r="L40" s="11">
        <f>RESULTAAT!D40-RESULTAAT!C40</f>
        <v>9492.2571071999846</v>
      </c>
    </row>
    <row r="41" spans="1:12" ht="15" customHeight="1" x14ac:dyDescent="0.3">
      <c r="A41" s="31" t="str">
        <f>RESULTAAT!A41</f>
        <v>EBITDA</v>
      </c>
      <c r="B41" s="45">
        <f>B40+B29+B30</f>
        <v>117581.16800000006</v>
      </c>
      <c r="C41" s="11">
        <f t="shared" si="9"/>
        <v>12.442451640211646</v>
      </c>
      <c r="D41" s="100">
        <f>D40+D29+D30</f>
        <v>112127.93536</v>
      </c>
      <c r="E41" s="96">
        <f t="shared" si="9"/>
        <v>11.482635469534049</v>
      </c>
      <c r="F41" s="11">
        <f>F40+F29+F30</f>
        <v>121620.19246719999</v>
      </c>
      <c r="G41" s="11">
        <f t="shared" si="10"/>
        <v>11.861623628332479</v>
      </c>
      <c r="I41" s="11">
        <f t="shared" si="0"/>
        <v>-4.6378452712768237</v>
      </c>
      <c r="J41" s="100">
        <f t="shared" si="1"/>
        <v>8.4655595206707144</v>
      </c>
      <c r="K41" s="11">
        <f>RESULTAAT!C41-RESULTAAT!B41</f>
        <v>-5453.2326400000602</v>
      </c>
      <c r="L41" s="11">
        <f>RESULTAAT!D41-RESULTAAT!C41</f>
        <v>9492.2571071999846</v>
      </c>
    </row>
    <row r="42" spans="1:12" ht="15" customHeight="1" x14ac:dyDescent="0.3">
      <c r="A42" s="265" t="str">
        <f>RESULTAAT!A42</f>
        <v>BEDRIJFSRESULTAAT</v>
      </c>
      <c r="B42" s="262">
        <f>B5-B17</f>
        <v>75581.168000000063</v>
      </c>
      <c r="C42" s="127">
        <f t="shared" si="9"/>
        <v>7.9980071957672028</v>
      </c>
      <c r="D42" s="130">
        <f>D5-D17</f>
        <v>70127.935360000003</v>
      </c>
      <c r="E42" s="128">
        <f t="shared" si="9"/>
        <v>7.1815602007168469</v>
      </c>
      <c r="F42" s="127">
        <f>F5-F17</f>
        <v>79620.192467199988</v>
      </c>
      <c r="G42" s="127">
        <f t="shared" si="10"/>
        <v>7.7653614675541895</v>
      </c>
      <c r="I42" s="127">
        <f t="shared" si="0"/>
        <v>-7.2150679650783589</v>
      </c>
      <c r="J42" s="130">
        <f t="shared" si="1"/>
        <v>13.535628930855756</v>
      </c>
      <c r="K42" s="127">
        <f>RESULTAAT!C42-RESULTAAT!B42</f>
        <v>-5453.2326400000602</v>
      </c>
      <c r="L42" s="127">
        <f>RESULTAAT!D42-RESULTAAT!C42</f>
        <v>9492.2571071999846</v>
      </c>
    </row>
    <row r="43" spans="1:12" ht="8.25" customHeight="1" x14ac:dyDescent="0.3">
      <c r="B43" s="33"/>
      <c r="C43" s="9"/>
      <c r="D43" s="7"/>
      <c r="E43" s="99"/>
      <c r="F43" s="9"/>
      <c r="G43" s="9"/>
      <c r="I43" s="15"/>
      <c r="J43" s="117"/>
      <c r="K43" s="92"/>
      <c r="L43" s="92"/>
    </row>
    <row r="44" spans="1:12" ht="15" customHeight="1" x14ac:dyDescent="0.3">
      <c r="A44" s="6" t="str">
        <f>RESULTAAT!A44</f>
        <v>Financiële Opbrengsten</v>
      </c>
      <c r="B44" s="40">
        <f>RESULTAAT!B44</f>
        <v>0</v>
      </c>
      <c r="C44" s="92">
        <f>B44/B$7*100</f>
        <v>0</v>
      </c>
      <c r="D44" s="18">
        <f>RESULTAAT!C44</f>
        <v>0</v>
      </c>
      <c r="E44" s="95">
        <f>D44/D$7*100</f>
        <v>0</v>
      </c>
      <c r="F44" s="92">
        <f>RESULTAAT!D44</f>
        <v>0</v>
      </c>
      <c r="G44" s="92">
        <f>F44/F$7*100</f>
        <v>0</v>
      </c>
      <c r="I44" s="92" t="e">
        <f t="shared" si="0"/>
        <v>#DIV/0!</v>
      </c>
      <c r="J44" s="18" t="e">
        <f t="shared" si="1"/>
        <v>#DIV/0!</v>
      </c>
      <c r="K44" s="92">
        <f>RESULTAAT!C44-RESULTAAT!B44</f>
        <v>0</v>
      </c>
      <c r="L44" s="92">
        <f>RESULTAAT!D44-RESULTAAT!C44</f>
        <v>0</v>
      </c>
    </row>
    <row r="45" spans="1:12" ht="15" customHeight="1" x14ac:dyDescent="0.3">
      <c r="A45" s="6" t="str">
        <f>RESULTAAT!A45</f>
        <v>Financiële Kosten</v>
      </c>
      <c r="B45" s="40">
        <f>RESULTAAT!B45</f>
        <v>12981.469410886984</v>
      </c>
      <c r="C45" s="92">
        <f>B45/B$7*100</f>
        <v>1.3737004667605275</v>
      </c>
      <c r="D45" s="18">
        <f>RESULTAAT!C45</f>
        <v>11925.827439313314</v>
      </c>
      <c r="E45" s="95">
        <f>D45/D$7*100</f>
        <v>1.2212828918907646</v>
      </c>
      <c r="F45" s="92">
        <f>RESULTAAT!D45</f>
        <v>10777.785173661705</v>
      </c>
      <c r="G45" s="92">
        <f>F45/F$7*100</f>
        <v>1.0511579424730406</v>
      </c>
      <c r="I45" s="92">
        <f t="shared" si="0"/>
        <v>-8.1319143323509273</v>
      </c>
      <c r="J45" s="18">
        <f t="shared" si="1"/>
        <v>-9.6265208556272164</v>
      </c>
      <c r="K45" s="92">
        <f>RESULTAAT!C45-RESULTAAT!B45</f>
        <v>-1055.6419715736702</v>
      </c>
      <c r="L45" s="92">
        <f>RESULTAAT!D45-RESULTAAT!C45</f>
        <v>-1148.0422656516093</v>
      </c>
    </row>
    <row r="46" spans="1:12" ht="15" customHeight="1" x14ac:dyDescent="0.3">
      <c r="A46" s="6" t="str">
        <f>RESULTAAT!A46</f>
        <v>Niet recurrent Financieel (+/-)</v>
      </c>
      <c r="B46" s="40">
        <f>RESULTAAT!B46</f>
        <v>0</v>
      </c>
      <c r="C46" s="92">
        <f>B46/B$7*100</f>
        <v>0</v>
      </c>
      <c r="D46" s="18">
        <f>RESULTAAT!C46</f>
        <v>0</v>
      </c>
      <c r="E46" s="95">
        <f>D46/D$7*100</f>
        <v>0</v>
      </c>
      <c r="F46" s="92">
        <f>RESULTAAT!D46</f>
        <v>0</v>
      </c>
      <c r="G46" s="92">
        <f>F46/F$7*100</f>
        <v>0</v>
      </c>
      <c r="I46" s="92" t="e">
        <f t="shared" si="0"/>
        <v>#DIV/0!</v>
      </c>
      <c r="J46" s="18" t="e">
        <f t="shared" si="1"/>
        <v>#DIV/0!</v>
      </c>
      <c r="K46" s="92">
        <f>RESULTAAT!C46-RESULTAAT!B46</f>
        <v>0</v>
      </c>
      <c r="L46" s="92">
        <f>RESULTAAT!D46-RESULTAAT!C46</f>
        <v>0</v>
      </c>
    </row>
    <row r="47" spans="1:12" ht="8.25" customHeight="1" x14ac:dyDescent="0.3">
      <c r="B47" s="40"/>
      <c r="C47" s="92"/>
      <c r="D47" s="18"/>
      <c r="E47" s="95"/>
      <c r="F47" s="92"/>
      <c r="G47" s="92"/>
      <c r="I47" s="92"/>
      <c r="J47" s="18"/>
      <c r="K47" s="92"/>
      <c r="L47" s="92"/>
    </row>
    <row r="48" spans="1:12" ht="15" customHeight="1" x14ac:dyDescent="0.3">
      <c r="A48" s="265" t="str">
        <f>RESULTAAT!A48</f>
        <v>RESULTAAT VOOR BELASTING</v>
      </c>
      <c r="B48" s="262">
        <f>B42+B44-B45</f>
        <v>62599.698589113075</v>
      </c>
      <c r="C48" s="127">
        <f>B48/B$7*100</f>
        <v>6.6243067290066753</v>
      </c>
      <c r="D48" s="130">
        <f>D42+D44-D45</f>
        <v>58202.107920686685</v>
      </c>
      <c r="E48" s="128">
        <f>D48/D7*100</f>
        <v>5.9602773088260816</v>
      </c>
      <c r="F48" s="127">
        <f>F42+F44-F45</f>
        <v>68842.407293538286</v>
      </c>
      <c r="G48" s="127">
        <f>F48/F7*100</f>
        <v>6.7142035250811487</v>
      </c>
      <c r="I48" s="127">
        <f t="shared" si="0"/>
        <v>-7.024939045299476</v>
      </c>
      <c r="J48" s="130">
        <f t="shared" si="1"/>
        <v>18.281639193122309</v>
      </c>
      <c r="K48" s="127">
        <f>RESULTAAT!C48-RESULTAAT!B48</f>
        <v>-4397.59066842639</v>
      </c>
      <c r="L48" s="127">
        <f>RESULTAAT!D48-RESULTAAT!C48</f>
        <v>10640.299372851601</v>
      </c>
    </row>
    <row r="49" spans="1:12" ht="8.25" customHeight="1" x14ac:dyDescent="0.3">
      <c r="B49" s="33"/>
      <c r="C49" s="9"/>
      <c r="D49" s="7"/>
      <c r="E49" s="99"/>
      <c r="F49" s="9"/>
      <c r="G49" s="9"/>
      <c r="I49" s="92"/>
      <c r="J49" s="18"/>
      <c r="K49" s="92"/>
      <c r="L49" s="92"/>
    </row>
    <row r="50" spans="1:12" ht="15" customHeight="1" x14ac:dyDescent="0.3">
      <c r="A50" s="6" t="str">
        <f>RESULTAAT!A50</f>
        <v>Onttrekking aan de uitgestelde belasting</v>
      </c>
      <c r="B50" s="40">
        <f>RESULTAAT!B50</f>
        <v>0</v>
      </c>
      <c r="C50" s="92"/>
      <c r="D50" s="18">
        <f>RESULTAAT!C50</f>
        <v>0</v>
      </c>
      <c r="E50" s="95"/>
      <c r="F50" s="92">
        <f>RESULTAAT!D50</f>
        <v>0</v>
      </c>
      <c r="G50" s="92"/>
      <c r="I50" s="92" t="e">
        <f t="shared" si="0"/>
        <v>#DIV/0!</v>
      </c>
      <c r="J50" s="18" t="e">
        <f t="shared" si="1"/>
        <v>#DIV/0!</v>
      </c>
      <c r="K50" s="92">
        <f>RESULTAAT!C50-RESULTAAT!B50</f>
        <v>0</v>
      </c>
      <c r="L50" s="92">
        <f>RESULTAAT!D50-RESULTAAT!C50</f>
        <v>0</v>
      </c>
    </row>
    <row r="51" spans="1:12" ht="15" customHeight="1" x14ac:dyDescent="0.3">
      <c r="A51" s="6" t="str">
        <f>RESULTAAT!A51</f>
        <v>Overboeking naar de uitgestelde belasting</v>
      </c>
      <c r="B51" s="40">
        <f>RESULTAAT!B51</f>
        <v>0</v>
      </c>
      <c r="C51" s="92"/>
      <c r="D51" s="18">
        <f>RESULTAAT!C51</f>
        <v>0</v>
      </c>
      <c r="E51" s="95"/>
      <c r="F51" s="92">
        <f>RESULTAAT!D51</f>
        <v>0</v>
      </c>
      <c r="G51" s="92"/>
      <c r="I51" s="92" t="e">
        <f t="shared" si="0"/>
        <v>#DIV/0!</v>
      </c>
      <c r="J51" s="18" t="e">
        <f t="shared" si="1"/>
        <v>#DIV/0!</v>
      </c>
      <c r="K51" s="92">
        <f>RESULTAAT!C51-RESULTAAT!B51</f>
        <v>0</v>
      </c>
      <c r="L51" s="92">
        <f>RESULTAAT!D51-RESULTAAT!C51</f>
        <v>0</v>
      </c>
    </row>
    <row r="52" spans="1:12" ht="15" customHeight="1" x14ac:dyDescent="0.3">
      <c r="A52" s="6" t="str">
        <f>RESULTAAT!A52</f>
        <v>Belastingen op het resultaat</v>
      </c>
      <c r="B52" s="40">
        <f>RESULTAAT!B52</f>
        <v>15649.924647278269</v>
      </c>
      <c r="C52" s="92">
        <f>B52/B$7*100</f>
        <v>1.6560766822516688</v>
      </c>
      <c r="D52" s="18">
        <f>RESULTAAT!C52</f>
        <v>14550.526980171671</v>
      </c>
      <c r="E52" s="95">
        <f>D52/D7*100</f>
        <v>1.4900693272065204</v>
      </c>
      <c r="F52" s="92">
        <f>RESULTAAT!D52</f>
        <v>17210.601823384572</v>
      </c>
      <c r="G52" s="92">
        <f>F52/F7*100</f>
        <v>1.6785508812702872</v>
      </c>
      <c r="I52" s="92">
        <f t="shared" si="0"/>
        <v>-7.024939045299476</v>
      </c>
      <c r="J52" s="18">
        <f t="shared" si="1"/>
        <v>18.281639193122309</v>
      </c>
      <c r="K52" s="92">
        <f>RESULTAAT!C52-RESULTAAT!B52</f>
        <v>-1099.3976671065975</v>
      </c>
      <c r="L52" s="92">
        <f>RESULTAAT!D52-RESULTAAT!C52</f>
        <v>2660.0748432129003</v>
      </c>
    </row>
    <row r="53" spans="1:12" ht="9" customHeight="1" x14ac:dyDescent="0.3">
      <c r="B53" s="33"/>
      <c r="C53" s="9"/>
      <c r="D53" s="7"/>
      <c r="E53" s="99"/>
      <c r="F53" s="9"/>
      <c r="G53" s="9"/>
      <c r="I53" s="92"/>
      <c r="J53" s="18"/>
      <c r="K53" s="92"/>
      <c r="L53" s="92"/>
    </row>
    <row r="54" spans="1:12" ht="15" customHeight="1" x14ac:dyDescent="0.3">
      <c r="A54" s="265" t="str">
        <f>RESULTAAT!A54</f>
        <v>NETTO RESULTAAT</v>
      </c>
      <c r="B54" s="262">
        <f>B48+B50-B51-B52</f>
        <v>46949.773941834806</v>
      </c>
      <c r="C54" s="127">
        <f>B54/B$7*100</f>
        <v>4.9682300467550062</v>
      </c>
      <c r="D54" s="130">
        <f>D48+D50-D51-D52</f>
        <v>43651.580940515014</v>
      </c>
      <c r="E54" s="128">
        <f>D54/D7*100</f>
        <v>4.470207981619561</v>
      </c>
      <c r="F54" s="127">
        <f>F48+F50-F51-F52</f>
        <v>51631.805470153718</v>
      </c>
      <c r="G54" s="127">
        <f>F54/F7*100</f>
        <v>5.0356526438108613</v>
      </c>
      <c r="I54" s="127">
        <f t="shared" si="0"/>
        <v>-7.024939045299476</v>
      </c>
      <c r="J54" s="130">
        <f t="shared" si="1"/>
        <v>18.281639193122317</v>
      </c>
      <c r="K54" s="127">
        <f>RESULTAAT!C54-RESULTAAT!B54</f>
        <v>-3298.1930013197925</v>
      </c>
      <c r="L54" s="127">
        <f>RESULTAAT!D54-RESULTAAT!C54</f>
        <v>7980.2245296387046</v>
      </c>
    </row>
    <row r="55" spans="1:12" ht="8.25" customHeight="1" x14ac:dyDescent="0.3">
      <c r="B55" s="263"/>
      <c r="C55" s="108"/>
      <c r="D55" s="115"/>
      <c r="E55" s="114"/>
      <c r="F55" s="108"/>
      <c r="G55" s="106"/>
      <c r="I55" s="92"/>
      <c r="J55" s="18"/>
      <c r="K55" s="92"/>
      <c r="L55" s="92"/>
    </row>
    <row r="56" spans="1:12" ht="15" customHeight="1" x14ac:dyDescent="0.3">
      <c r="A56" s="6" t="str">
        <f>RESULTAAT!A56</f>
        <v>Onttrekking aan de  Belastingvrije Reserves</v>
      </c>
      <c r="B56" s="40">
        <f>RESULTAAT!B56</f>
        <v>0</v>
      </c>
      <c r="C56" s="106"/>
      <c r="D56" s="18">
        <f>RESULTAAT!C56</f>
        <v>0</v>
      </c>
      <c r="E56" s="113"/>
      <c r="F56" s="92">
        <f>RESULTAAT!D56</f>
        <v>0</v>
      </c>
      <c r="G56" s="106"/>
      <c r="I56" s="92" t="e">
        <f t="shared" si="0"/>
        <v>#DIV/0!</v>
      </c>
      <c r="J56" s="18" t="e">
        <f t="shared" si="1"/>
        <v>#DIV/0!</v>
      </c>
      <c r="K56" s="92">
        <f>RESULTAAT!C56-RESULTAAT!B56</f>
        <v>0</v>
      </c>
      <c r="L56" s="92">
        <f>RESULTAAT!D56-RESULTAAT!C56</f>
        <v>0</v>
      </c>
    </row>
    <row r="57" spans="1:12" ht="15" customHeight="1" x14ac:dyDescent="0.3">
      <c r="A57" s="6" t="str">
        <f>RESULTAAT!A57</f>
        <v>Overboeking naar de Belastingvrije Reserves</v>
      </c>
      <c r="B57" s="40">
        <f>RESULTAAT!B57</f>
        <v>0</v>
      </c>
      <c r="C57" s="106"/>
      <c r="D57" s="18">
        <f>RESULTAAT!C57</f>
        <v>0</v>
      </c>
      <c r="E57" s="113"/>
      <c r="F57" s="92">
        <f>RESULTAAT!D57</f>
        <v>0</v>
      </c>
      <c r="G57" s="106"/>
      <c r="I57" s="92" t="e">
        <f t="shared" si="0"/>
        <v>#DIV/0!</v>
      </c>
      <c r="J57" s="18" t="e">
        <f t="shared" si="1"/>
        <v>#DIV/0!</v>
      </c>
      <c r="K57" s="92">
        <f>RESULTAAT!C57-RESULTAAT!B57</f>
        <v>0</v>
      </c>
      <c r="L57" s="92">
        <f>RESULTAAT!D57-RESULTAAT!C57</f>
        <v>0</v>
      </c>
    </row>
    <row r="58" spans="1:12" ht="6.75" customHeight="1" x14ac:dyDescent="0.3">
      <c r="B58" s="46"/>
      <c r="C58" s="106"/>
      <c r="D58" s="116"/>
      <c r="E58" s="113"/>
      <c r="F58" s="106"/>
      <c r="G58" s="106"/>
      <c r="I58" s="92"/>
      <c r="J58" s="18"/>
      <c r="K58" s="92"/>
      <c r="L58" s="92"/>
    </row>
    <row r="59" spans="1:12" ht="15" customHeight="1" x14ac:dyDescent="0.3">
      <c r="A59" s="265" t="str">
        <f>RESULTAAT!A59</f>
        <v>TE BESTEMMEN RESULTAAT</v>
      </c>
      <c r="B59" s="262">
        <f>B54+B56-B57</f>
        <v>46949.773941834806</v>
      </c>
      <c r="C59" s="127">
        <f>B59/B$7*100</f>
        <v>4.9682300467550062</v>
      </c>
      <c r="D59" s="130">
        <f>D54+D56-D57</f>
        <v>43651.580940515014</v>
      </c>
      <c r="E59" s="128">
        <f>D59/D7*100</f>
        <v>4.470207981619561</v>
      </c>
      <c r="F59" s="127">
        <f>F54+F56-F57</f>
        <v>51631.805470153718</v>
      </c>
      <c r="G59" s="127">
        <f>F59/F7*100</f>
        <v>5.0356526438108613</v>
      </c>
      <c r="I59" s="131">
        <f t="shared" si="0"/>
        <v>-7.024939045299476</v>
      </c>
      <c r="J59" s="133">
        <f t="shared" si="1"/>
        <v>18.281639193122317</v>
      </c>
      <c r="K59" s="127">
        <f>RESULTAAT!C59-RESULTAAT!B59</f>
        <v>-3298.1930013197925</v>
      </c>
      <c r="L59" s="127">
        <f>RESULTAAT!D59-RESULTAAT!C59</f>
        <v>7980.2245296387046</v>
      </c>
    </row>
  </sheetData>
  <sheetProtection algorithmName="SHA-512" hashValue="/OfYoXxIXMirKCvTw08YwiwXaHwoM+PmCHeRPahiO2xpJwEn5cpPNnQrcLm0PTt8bwbQts6CmppSW7lURvxVIw==" saltValue="SBCMNXY+9S56I69nOn8Xqw==" spinCount="100000" sheet="1" objects="1" scenarios="1" selectLockedCells="1" selectUnlockedCells="1"/>
  <mergeCells count="7">
    <mergeCell ref="K4:L4"/>
    <mergeCell ref="I3:L3"/>
    <mergeCell ref="B4:C4"/>
    <mergeCell ref="D4:E4"/>
    <mergeCell ref="F4:G4"/>
    <mergeCell ref="I4:J4"/>
    <mergeCell ref="C3:G3"/>
  </mergeCells>
  <pageMargins left="0.70866141732283472" right="0.70866141732283472" top="0.74803149606299213" bottom="0.74803149606299213" header="0.31496062992125984" footer="0.31496062992125984"/>
  <pageSetup paperSize="9" scale="6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3"/>
  <sheetViews>
    <sheetView zoomScale="142" zoomScaleNormal="142" workbookViewId="0">
      <selection activeCell="F36" sqref="F36"/>
    </sheetView>
  </sheetViews>
  <sheetFormatPr defaultColWidth="9.21875" defaultRowHeight="13.8" x14ac:dyDescent="0.3"/>
  <cols>
    <col min="1" max="1" width="6.5546875" style="6" customWidth="1"/>
    <col min="2" max="2" width="25.77734375" style="6" customWidth="1"/>
    <col min="3" max="3" width="12.77734375" style="6" customWidth="1"/>
    <col min="4" max="4" width="6.21875" style="35" customWidth="1"/>
    <col min="5" max="10" width="12.77734375" style="6" customWidth="1"/>
    <col min="11" max="11" width="9.21875" style="6"/>
    <col min="12" max="12" width="9.44140625" style="6" hidden="1" customWidth="1"/>
    <col min="13" max="14" width="0" style="6" hidden="1" customWidth="1"/>
    <col min="15" max="16" width="11.33203125" style="6" bestFit="1" customWidth="1"/>
    <col min="17" max="16384" width="9.21875" style="6"/>
  </cols>
  <sheetData>
    <row r="1" spans="1:12" ht="15.6" x14ac:dyDescent="0.3">
      <c r="A1" s="104" t="str">
        <f>ACTIVA!A1</f>
        <v>VDO</v>
      </c>
    </row>
    <row r="2" spans="1:12" ht="14.4" x14ac:dyDescent="0.3">
      <c r="A2" s="103" t="s">
        <v>370</v>
      </c>
      <c r="C2" s="21" t="s">
        <v>246</v>
      </c>
    </row>
    <row r="4" spans="1:12" x14ac:dyDescent="0.3">
      <c r="A4" s="108" t="s">
        <v>226</v>
      </c>
      <c r="B4" s="108" t="s">
        <v>227</v>
      </c>
      <c r="C4" s="108" t="s">
        <v>228</v>
      </c>
      <c r="D4" s="108" t="s">
        <v>139</v>
      </c>
      <c r="E4" s="333" t="s">
        <v>37</v>
      </c>
      <c r="F4" s="334"/>
      <c r="G4" s="334"/>
      <c r="H4" s="334"/>
      <c r="I4" s="335"/>
      <c r="J4" s="36" t="s">
        <v>229</v>
      </c>
    </row>
    <row r="5" spans="1:12" x14ac:dyDescent="0.3">
      <c r="A5" s="83"/>
      <c r="B5" s="83"/>
      <c r="C5" s="83"/>
      <c r="D5" s="84"/>
      <c r="E5" s="94" t="s">
        <v>99</v>
      </c>
      <c r="F5" s="94" t="s">
        <v>100</v>
      </c>
      <c r="G5" s="94" t="s">
        <v>179</v>
      </c>
      <c r="H5" s="94" t="s">
        <v>467</v>
      </c>
      <c r="I5" s="94" t="s">
        <v>86</v>
      </c>
      <c r="J5" s="83"/>
    </row>
    <row r="6" spans="1:12" x14ac:dyDescent="0.3">
      <c r="C6" s="2"/>
      <c r="D6" s="5"/>
      <c r="E6" s="2"/>
      <c r="F6" s="2"/>
      <c r="G6" s="2"/>
      <c r="H6" s="2"/>
      <c r="I6" s="2"/>
      <c r="J6" s="2"/>
    </row>
    <row r="7" spans="1:12" s="10" customFormat="1" ht="15" customHeight="1" x14ac:dyDescent="0.3">
      <c r="A7" s="134" t="s">
        <v>248</v>
      </c>
      <c r="B7" s="141"/>
      <c r="C7" s="146">
        <f>C8+C9</f>
        <v>0</v>
      </c>
      <c r="D7" s="147"/>
      <c r="E7" s="146">
        <f t="shared" ref="E7:H7" si="0">E8+E9</f>
        <v>0</v>
      </c>
      <c r="F7" s="146">
        <f t="shared" si="0"/>
        <v>0</v>
      </c>
      <c r="G7" s="146">
        <f t="shared" si="0"/>
        <v>0</v>
      </c>
      <c r="H7" s="146">
        <f t="shared" si="0"/>
        <v>0</v>
      </c>
      <c r="I7" s="146">
        <f>E7+F7+G7+H7</f>
        <v>0</v>
      </c>
      <c r="J7" s="146">
        <f>C7-I7</f>
        <v>0</v>
      </c>
    </row>
    <row r="8" spans="1:12" ht="15" customHeight="1" x14ac:dyDescent="0.3">
      <c r="A8" s="9"/>
      <c r="B8" s="81"/>
      <c r="C8" s="26"/>
      <c r="D8" s="28"/>
      <c r="E8" s="26">
        <f>C8*D8%</f>
        <v>0</v>
      </c>
      <c r="F8" s="26">
        <f>E8</f>
        <v>0</v>
      </c>
      <c r="G8" s="26">
        <f>F8</f>
        <v>0</v>
      </c>
      <c r="H8" s="26"/>
      <c r="I8" s="26">
        <f>E8+F8+G8+H8</f>
        <v>0</v>
      </c>
      <c r="J8" s="26">
        <f>C8-I8</f>
        <v>0</v>
      </c>
    </row>
    <row r="9" spans="1:12" ht="15" customHeight="1" x14ac:dyDescent="0.3">
      <c r="A9" s="83"/>
      <c r="B9" s="82"/>
      <c r="C9" s="41"/>
      <c r="D9" s="44"/>
      <c r="E9" s="41">
        <f>C9*D9%</f>
        <v>0</v>
      </c>
      <c r="F9" s="41">
        <f>E9</f>
        <v>0</v>
      </c>
      <c r="G9" s="41">
        <f>F9</f>
        <v>0</v>
      </c>
      <c r="H9" s="41"/>
      <c r="I9" s="41">
        <f>E9+F9+G9+H9</f>
        <v>0</v>
      </c>
      <c r="J9" s="41">
        <f>C9-I9</f>
        <v>0</v>
      </c>
    </row>
    <row r="10" spans="1:12" x14ac:dyDescent="0.3">
      <c r="C10" s="2"/>
      <c r="D10" s="5"/>
      <c r="E10" s="2"/>
      <c r="F10" s="2"/>
      <c r="G10" s="2"/>
      <c r="H10" s="2"/>
      <c r="I10" s="2"/>
      <c r="J10" s="2"/>
    </row>
    <row r="11" spans="1:12" ht="15" customHeight="1" x14ac:dyDescent="0.3">
      <c r="A11" s="134" t="s">
        <v>230</v>
      </c>
      <c r="B11" s="144"/>
      <c r="C11" s="146">
        <f>C12+C13</f>
        <v>300000</v>
      </c>
      <c r="D11" s="147"/>
      <c r="E11" s="146">
        <f t="shared" ref="E11" si="1">E12+E13</f>
        <v>30000</v>
      </c>
      <c r="F11" s="146">
        <f t="shared" ref="F11" si="2">F12+F13</f>
        <v>30000</v>
      </c>
      <c r="G11" s="146">
        <f t="shared" ref="G11:H11" si="3">G12+G13</f>
        <v>30000</v>
      </c>
      <c r="H11" s="146">
        <f t="shared" si="3"/>
        <v>0</v>
      </c>
      <c r="I11" s="146">
        <f>E11+F11+G11+H11</f>
        <v>90000</v>
      </c>
      <c r="J11" s="146">
        <f>C11-I11</f>
        <v>210000</v>
      </c>
    </row>
    <row r="12" spans="1:12" ht="15" customHeight="1" x14ac:dyDescent="0.3">
      <c r="A12" s="9" t="str">
        <f>E5</f>
        <v>Jaar 1</v>
      </c>
      <c r="B12" s="6" t="s">
        <v>435</v>
      </c>
      <c r="C12" s="26">
        <f>OPGAVE!B15</f>
        <v>300000</v>
      </c>
      <c r="D12" s="28">
        <v>10</v>
      </c>
      <c r="E12" s="26">
        <f>C12*D12%</f>
        <v>30000</v>
      </c>
      <c r="F12" s="26">
        <f>E12</f>
        <v>30000</v>
      </c>
      <c r="G12" s="26">
        <f>(C12+C13)*D12%</f>
        <v>30000</v>
      </c>
      <c r="H12" s="26"/>
      <c r="I12" s="26">
        <f>E12+F12+G12+H12</f>
        <v>90000</v>
      </c>
      <c r="J12" s="26">
        <f>C12-I12</f>
        <v>210000</v>
      </c>
    </row>
    <row r="13" spans="1:12" ht="15" customHeight="1" x14ac:dyDescent="0.3">
      <c r="A13" s="9" t="s">
        <v>179</v>
      </c>
      <c r="B13" s="6" t="s">
        <v>446</v>
      </c>
      <c r="C13" s="26"/>
      <c r="D13" s="28"/>
      <c r="E13" s="26"/>
      <c r="F13" s="26"/>
      <c r="G13" s="26"/>
      <c r="H13" s="26">
        <f>(C13*D12%)*2</f>
        <v>0</v>
      </c>
      <c r="I13" s="26">
        <f t="shared" ref="I13:I14" si="4">E13+F13+G13+H13</f>
        <v>0</v>
      </c>
      <c r="J13" s="26">
        <f>C13-I13</f>
        <v>0</v>
      </c>
      <c r="L13" s="6">
        <v>50000</v>
      </c>
    </row>
    <row r="14" spans="1:12" ht="15" customHeight="1" x14ac:dyDescent="0.3">
      <c r="A14" s="83"/>
      <c r="B14" s="82"/>
      <c r="C14" s="41"/>
      <c r="D14" s="44"/>
      <c r="E14" s="41"/>
      <c r="F14" s="41"/>
      <c r="G14" s="41"/>
      <c r="H14" s="41"/>
      <c r="I14" s="41">
        <f t="shared" si="4"/>
        <v>0</v>
      </c>
      <c r="J14" s="41"/>
      <c r="L14" s="25">
        <f>-E12-F12</f>
        <v>-60000</v>
      </c>
    </row>
    <row r="15" spans="1:12" x14ac:dyDescent="0.3">
      <c r="C15" s="2"/>
      <c r="D15" s="5"/>
      <c r="E15" s="2"/>
      <c r="F15" s="2"/>
      <c r="G15" s="2"/>
      <c r="H15" s="2"/>
      <c r="I15" s="2"/>
      <c r="J15" s="2"/>
      <c r="L15" s="6">
        <f>SUM(L13:L14)</f>
        <v>-10000</v>
      </c>
    </row>
    <row r="16" spans="1:12" ht="15" customHeight="1" x14ac:dyDescent="0.3">
      <c r="A16" s="134" t="s">
        <v>231</v>
      </c>
      <c r="B16" s="144"/>
      <c r="C16" s="146">
        <f>C17+C18</f>
        <v>46000</v>
      </c>
      <c r="D16" s="147"/>
      <c r="E16" s="146">
        <f t="shared" ref="E16" si="5">E17+E18</f>
        <v>12000</v>
      </c>
      <c r="F16" s="146">
        <f t="shared" ref="F16" si="6">F17+F18</f>
        <v>12000</v>
      </c>
      <c r="G16" s="146">
        <f t="shared" ref="G16:H16" si="7">G17+G18</f>
        <v>12000</v>
      </c>
      <c r="H16" s="146">
        <f t="shared" si="7"/>
        <v>0</v>
      </c>
      <c r="I16" s="146">
        <f>E16+F16+G16+H16</f>
        <v>36000</v>
      </c>
      <c r="J16" s="146">
        <f>C16-I16</f>
        <v>10000</v>
      </c>
    </row>
    <row r="17" spans="1:13" ht="15" customHeight="1" x14ac:dyDescent="0.3">
      <c r="A17" s="9" t="s">
        <v>99</v>
      </c>
      <c r="B17" s="81" t="s">
        <v>520</v>
      </c>
      <c r="C17" s="26">
        <f>OPGAVE!B20</f>
        <v>25000</v>
      </c>
      <c r="D17" s="28">
        <v>20</v>
      </c>
      <c r="E17" s="26">
        <v>5000</v>
      </c>
      <c r="F17" s="26">
        <f>C17*D17%</f>
        <v>5000</v>
      </c>
      <c r="G17" s="26">
        <v>5000</v>
      </c>
      <c r="H17" s="26"/>
      <c r="I17" s="26">
        <f>E17+F17+G17+H17</f>
        <v>15000</v>
      </c>
      <c r="J17" s="26">
        <f>C17-I17</f>
        <v>10000</v>
      </c>
      <c r="L17" s="6">
        <v>70000</v>
      </c>
    </row>
    <row r="18" spans="1:13" ht="15" customHeight="1" x14ac:dyDescent="0.3">
      <c r="A18" s="83" t="s">
        <v>99</v>
      </c>
      <c r="B18" s="82" t="s">
        <v>515</v>
      </c>
      <c r="C18" s="41">
        <f>OPGAVE!B21</f>
        <v>21000</v>
      </c>
      <c r="D18" s="44">
        <v>33.33</v>
      </c>
      <c r="E18" s="41">
        <v>7000</v>
      </c>
      <c r="F18" s="41">
        <f>E18</f>
        <v>7000</v>
      </c>
      <c r="G18" s="41">
        <v>7000</v>
      </c>
      <c r="H18" s="41"/>
      <c r="I18" s="41">
        <f>E18+F18+G18+H18</f>
        <v>21000</v>
      </c>
      <c r="J18" s="41">
        <f>C18-I18</f>
        <v>0</v>
      </c>
      <c r="L18" s="6">
        <f>L17-L15</f>
        <v>80000</v>
      </c>
      <c r="M18" s="6" t="s">
        <v>296</v>
      </c>
    </row>
    <row r="19" spans="1:13" x14ac:dyDescent="0.3">
      <c r="C19" s="2"/>
      <c r="D19" s="5"/>
      <c r="E19" s="2"/>
      <c r="F19" s="2"/>
      <c r="G19" s="2"/>
      <c r="H19" s="2"/>
      <c r="I19" s="2"/>
      <c r="J19" s="2"/>
    </row>
    <row r="20" spans="1:13" ht="15" customHeight="1" x14ac:dyDescent="0.3">
      <c r="A20" s="134" t="s">
        <v>54</v>
      </c>
      <c r="B20" s="144"/>
      <c r="C20" s="146">
        <f>C21+C22</f>
        <v>0</v>
      </c>
      <c r="D20" s="147"/>
      <c r="E20" s="146">
        <f t="shared" ref="E20:J20" si="8">E21+E22</f>
        <v>0</v>
      </c>
      <c r="F20" s="146">
        <f t="shared" si="8"/>
        <v>0</v>
      </c>
      <c r="G20" s="146">
        <f t="shared" si="8"/>
        <v>0</v>
      </c>
      <c r="H20" s="146">
        <f t="shared" si="8"/>
        <v>0</v>
      </c>
      <c r="I20" s="146">
        <f>E20+F20+G20+H20</f>
        <v>0</v>
      </c>
      <c r="J20" s="146">
        <f t="shared" si="8"/>
        <v>0</v>
      </c>
    </row>
    <row r="21" spans="1:13" ht="15" customHeight="1" x14ac:dyDescent="0.3">
      <c r="A21" s="9"/>
      <c r="B21" s="81"/>
      <c r="C21" s="26"/>
      <c r="D21" s="28"/>
      <c r="E21" s="26">
        <f>C21*D21%</f>
        <v>0</v>
      </c>
      <c r="F21" s="26">
        <f>E21</f>
        <v>0</v>
      </c>
      <c r="G21" s="26">
        <f>F21</f>
        <v>0</v>
      </c>
      <c r="H21" s="26"/>
      <c r="I21" s="26">
        <f>E21+F21+G21+H21</f>
        <v>0</v>
      </c>
      <c r="J21" s="26">
        <f>C21-I21</f>
        <v>0</v>
      </c>
    </row>
    <row r="22" spans="1:13" ht="15" customHeight="1" x14ac:dyDescent="0.3">
      <c r="A22" s="83"/>
      <c r="B22" s="82"/>
      <c r="C22" s="41"/>
      <c r="D22" s="44"/>
      <c r="E22" s="41">
        <f>C22*D22%</f>
        <v>0</v>
      </c>
      <c r="F22" s="41">
        <f>E22</f>
        <v>0</v>
      </c>
      <c r="G22" s="41">
        <f>F22</f>
        <v>0</v>
      </c>
      <c r="H22" s="41"/>
      <c r="I22" s="41">
        <f>E22+F22+G22+H22</f>
        <v>0</v>
      </c>
      <c r="J22" s="41">
        <f>C22-I22</f>
        <v>0</v>
      </c>
    </row>
    <row r="23" spans="1:13" x14ac:dyDescent="0.3">
      <c r="C23" s="2"/>
      <c r="D23" s="5"/>
      <c r="E23" s="2"/>
      <c r="F23" s="2"/>
      <c r="G23" s="2"/>
      <c r="H23" s="2"/>
      <c r="I23" s="2"/>
      <c r="J23" s="2"/>
    </row>
    <row r="24" spans="1:13" ht="15" customHeight="1" x14ac:dyDescent="0.3">
      <c r="A24" s="145" t="s">
        <v>232</v>
      </c>
      <c r="B24" s="144"/>
      <c r="C24" s="146">
        <f>SUM(C25:C27)</f>
        <v>0</v>
      </c>
      <c r="D24" s="147"/>
      <c r="E24" s="146">
        <f>SUM(E25:E27)</f>
        <v>0</v>
      </c>
      <c r="F24" s="146">
        <f t="shared" ref="F24:J24" si="9">SUM(F25:F27)</f>
        <v>0</v>
      </c>
      <c r="G24" s="146">
        <f t="shared" si="9"/>
        <v>0</v>
      </c>
      <c r="H24" s="146">
        <f t="shared" si="9"/>
        <v>0</v>
      </c>
      <c r="I24" s="146">
        <f t="shared" si="9"/>
        <v>0</v>
      </c>
      <c r="J24" s="146">
        <f t="shared" si="9"/>
        <v>0</v>
      </c>
    </row>
    <row r="25" spans="1:13" ht="15" customHeight="1" x14ac:dyDescent="0.3">
      <c r="A25" s="9" t="str">
        <f>A12</f>
        <v>Jaar 1</v>
      </c>
      <c r="B25" s="81"/>
      <c r="C25" s="26"/>
      <c r="D25" s="28"/>
      <c r="E25" s="26">
        <f>C25*D25%</f>
        <v>0</v>
      </c>
      <c r="F25" s="26">
        <f t="shared" ref="F25:G27" si="10">E25</f>
        <v>0</v>
      </c>
      <c r="G25" s="26">
        <f t="shared" si="10"/>
        <v>0</v>
      </c>
      <c r="H25" s="26"/>
      <c r="I25" s="26">
        <f>E25+F25+G25+H25</f>
        <v>0</v>
      </c>
      <c r="J25" s="26">
        <f>C25-I25</f>
        <v>0</v>
      </c>
    </row>
    <row r="26" spans="1:13" ht="15" customHeight="1" x14ac:dyDescent="0.3">
      <c r="A26" s="9"/>
      <c r="C26" s="26"/>
      <c r="D26" s="28"/>
      <c r="E26" s="26">
        <f>C26*D26%</f>
        <v>0</v>
      </c>
      <c r="F26" s="26">
        <f t="shared" si="10"/>
        <v>0</v>
      </c>
      <c r="G26" s="26">
        <f t="shared" si="10"/>
        <v>0</v>
      </c>
      <c r="H26" s="26"/>
      <c r="I26" s="26">
        <f t="shared" ref="I26:I27" si="11">E26+F26+G26+H26</f>
        <v>0</v>
      </c>
      <c r="J26" s="26">
        <f>C26-I26</f>
        <v>0</v>
      </c>
    </row>
    <row r="27" spans="1:13" ht="15" customHeight="1" x14ac:dyDescent="0.3">
      <c r="A27" s="83"/>
      <c r="B27" s="82"/>
      <c r="C27" s="41"/>
      <c r="D27" s="44"/>
      <c r="E27" s="41">
        <f>C27*D27%</f>
        <v>0</v>
      </c>
      <c r="F27" s="41">
        <f t="shared" si="10"/>
        <v>0</v>
      </c>
      <c r="G27" s="41">
        <f t="shared" si="10"/>
        <v>0</v>
      </c>
      <c r="H27" s="41"/>
      <c r="I27" s="41">
        <f t="shared" si="11"/>
        <v>0</v>
      </c>
      <c r="J27" s="41">
        <f>C27-I27</f>
        <v>0</v>
      </c>
    </row>
    <row r="28" spans="1:13" x14ac:dyDescent="0.3">
      <c r="C28" s="2"/>
      <c r="D28" s="5"/>
      <c r="E28" s="2"/>
      <c r="F28" s="2"/>
      <c r="G28" s="2"/>
      <c r="H28" s="2"/>
      <c r="I28" s="2"/>
      <c r="J28" s="2"/>
    </row>
    <row r="29" spans="1:13" ht="15" customHeight="1" x14ac:dyDescent="0.3">
      <c r="A29" s="145" t="s">
        <v>247</v>
      </c>
      <c r="B29" s="144"/>
      <c r="C29" s="146">
        <f>C30+C31</f>
        <v>0</v>
      </c>
      <c r="D29" s="147"/>
      <c r="E29" s="146">
        <f t="shared" ref="E29" si="12">E30+E31</f>
        <v>0</v>
      </c>
      <c r="F29" s="146">
        <f t="shared" ref="F29" si="13">F30+F31</f>
        <v>0</v>
      </c>
      <c r="G29" s="146">
        <f t="shared" ref="G29:H29" si="14">G30+G31</f>
        <v>0</v>
      </c>
      <c r="H29" s="146">
        <f t="shared" si="14"/>
        <v>0</v>
      </c>
      <c r="I29" s="146">
        <f>E29+F29+G29+H29</f>
        <v>0</v>
      </c>
      <c r="J29" s="146">
        <f t="shared" ref="J29" si="15">J30+J31</f>
        <v>0</v>
      </c>
    </row>
    <row r="30" spans="1:13" ht="15" customHeight="1" x14ac:dyDescent="0.3">
      <c r="A30" s="9"/>
      <c r="B30" s="81"/>
      <c r="C30" s="26"/>
      <c r="D30" s="28"/>
      <c r="E30" s="26">
        <f>C30*D30%</f>
        <v>0</v>
      </c>
      <c r="F30" s="26">
        <f>E30</f>
        <v>0</v>
      </c>
      <c r="G30" s="26">
        <f>F30</f>
        <v>0</v>
      </c>
      <c r="H30" s="26"/>
      <c r="I30" s="26">
        <f>E30+F30+G30+H30</f>
        <v>0</v>
      </c>
      <c r="J30" s="26">
        <f>C30-I30</f>
        <v>0</v>
      </c>
    </row>
    <row r="31" spans="1:13" ht="15" customHeight="1" x14ac:dyDescent="0.3">
      <c r="A31" s="83"/>
      <c r="B31" s="82"/>
      <c r="C31" s="41"/>
      <c r="D31" s="44"/>
      <c r="E31" s="41">
        <f>C31*D31%</f>
        <v>0</v>
      </c>
      <c r="F31" s="41">
        <f>E31</f>
        <v>0</v>
      </c>
      <c r="G31" s="41">
        <f>F31</f>
        <v>0</v>
      </c>
      <c r="H31" s="41"/>
      <c r="I31" s="41">
        <f>E31+F31+G31+H31</f>
        <v>0</v>
      </c>
      <c r="J31" s="41">
        <f>C31-I31</f>
        <v>0</v>
      </c>
    </row>
    <row r="32" spans="1:13" x14ac:dyDescent="0.3">
      <c r="C32" s="2"/>
      <c r="D32" s="5"/>
      <c r="E32" s="2"/>
      <c r="F32" s="2"/>
      <c r="G32" s="2"/>
      <c r="H32" s="2"/>
      <c r="I32" s="2"/>
      <c r="J32" s="2"/>
    </row>
    <row r="33" spans="1:10" ht="15" customHeight="1" x14ac:dyDescent="0.3">
      <c r="A33" s="145" t="s">
        <v>66</v>
      </c>
      <c r="B33" s="141"/>
      <c r="C33" s="142">
        <f>C7+C11+C16+C20+C24+C29</f>
        <v>346000</v>
      </c>
      <c r="D33" s="143"/>
      <c r="E33" s="142">
        <f t="shared" ref="E33:F33" si="16">E7+E11+E16+E20+E24+E29</f>
        <v>42000</v>
      </c>
      <c r="F33" s="142">
        <f t="shared" si="16"/>
        <v>42000</v>
      </c>
      <c r="G33" s="142">
        <f>G7+G11+G16+G20+G24+G29</f>
        <v>42000</v>
      </c>
      <c r="H33" s="142">
        <f>H7+H11+H16+H20+H24+H29</f>
        <v>0</v>
      </c>
      <c r="I33" s="142">
        <f>I7+I11+I16+I20+I24+I29</f>
        <v>126000</v>
      </c>
      <c r="J33" s="142">
        <f>J7+J11+J16+J20+J24+J29</f>
        <v>220000</v>
      </c>
    </row>
  </sheetData>
  <mergeCells count="1">
    <mergeCell ref="E4:I4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94"/>
  <sheetViews>
    <sheetView topLeftCell="A178" zoomScale="196" zoomScaleNormal="196" workbookViewId="0">
      <selection activeCell="B401" sqref="B401"/>
    </sheetView>
  </sheetViews>
  <sheetFormatPr defaultColWidth="9.21875" defaultRowHeight="13.8" x14ac:dyDescent="0.3"/>
  <cols>
    <col min="1" max="1" width="31.77734375" style="6" customWidth="1"/>
    <col min="2" max="4" width="14.21875" style="2" customWidth="1"/>
    <col min="5" max="5" width="9.21875" style="2"/>
    <col min="6" max="8" width="9.21875" style="1" hidden="1" customWidth="1"/>
    <col min="9" max="9" width="10.21875" style="1" hidden="1" customWidth="1"/>
    <col min="10" max="13" width="9.21875" style="1" hidden="1" customWidth="1"/>
    <col min="14" max="14" width="9.44140625" style="1" hidden="1" customWidth="1"/>
    <col min="15" max="15" width="9.44140625" style="2" hidden="1" customWidth="1"/>
    <col min="16" max="16" width="9.21875" style="6" customWidth="1"/>
    <col min="17" max="17" width="9.77734375" style="6" customWidth="1"/>
    <col min="18" max="18" width="3.5546875" style="6" customWidth="1"/>
    <col min="19" max="19" width="9.21875" style="6" customWidth="1"/>
    <col min="20" max="20" width="9.77734375" style="6" bestFit="1" customWidth="1"/>
    <col min="21" max="16384" width="9.21875" style="6"/>
  </cols>
  <sheetData>
    <row r="1" spans="1:4" ht="15.6" hidden="1" x14ac:dyDescent="0.3">
      <c r="A1" s="104" t="str">
        <f>PASSIVA!A1</f>
        <v>VDO</v>
      </c>
    </row>
    <row r="2" spans="1:4" ht="15.6" hidden="1" x14ac:dyDescent="0.3">
      <c r="A2" s="104" t="s">
        <v>423</v>
      </c>
    </row>
    <row r="3" spans="1:4" ht="15.6" hidden="1" x14ac:dyDescent="0.3">
      <c r="A3" s="104"/>
    </row>
    <row r="4" spans="1:4" hidden="1" x14ac:dyDescent="0.3">
      <c r="B4" s="105" t="s">
        <v>99</v>
      </c>
      <c r="C4" s="105" t="s">
        <v>100</v>
      </c>
      <c r="D4" s="105" t="s">
        <v>179</v>
      </c>
    </row>
    <row r="5" spans="1:4" hidden="1" x14ac:dyDescent="0.3">
      <c r="A5" s="219" t="s">
        <v>384</v>
      </c>
      <c r="B5" s="220"/>
      <c r="C5" s="220"/>
      <c r="D5" s="221"/>
    </row>
    <row r="6" spans="1:4" hidden="1" x14ac:dyDescent="0.3">
      <c r="A6" s="8" t="s">
        <v>385</v>
      </c>
      <c r="B6" s="38"/>
      <c r="C6" s="38">
        <f>$B$118</f>
        <v>96775.392642448045</v>
      </c>
      <c r="D6" s="38">
        <f>$C$118</f>
        <v>107381.81180524599</v>
      </c>
    </row>
    <row r="7" spans="1:4" hidden="1" x14ac:dyDescent="0.3">
      <c r="A7" s="9" t="s">
        <v>386</v>
      </c>
      <c r="B7" s="26"/>
      <c r="C7" s="26">
        <f>B$126</f>
        <v>96775.392642448045</v>
      </c>
      <c r="D7" s="26">
        <f>C$126</f>
        <v>107381.81180524599</v>
      </c>
    </row>
    <row r="8" spans="1:4" hidden="1" x14ac:dyDescent="0.3">
      <c r="A8" s="9" t="s">
        <v>177</v>
      </c>
      <c r="B8" s="26"/>
      <c r="C8" s="26">
        <f>B$138</f>
        <v>62500.28377526137</v>
      </c>
      <c r="D8" s="26">
        <f>C$138</f>
        <v>73111.31354956796</v>
      </c>
    </row>
    <row r="9" spans="1:4" hidden="1" x14ac:dyDescent="0.3">
      <c r="A9" s="9" t="s">
        <v>387</v>
      </c>
      <c r="B9" s="26"/>
      <c r="C9" s="26">
        <f>B$213</f>
        <v>96775.392642448045</v>
      </c>
      <c r="D9" s="26">
        <f>C$213</f>
        <v>107381.81180524599</v>
      </c>
    </row>
    <row r="10" spans="1:4" hidden="1" x14ac:dyDescent="0.3">
      <c r="A10" s="83"/>
      <c r="B10" s="41"/>
      <c r="C10" s="41"/>
      <c r="D10" s="41"/>
    </row>
    <row r="11" spans="1:4" hidden="1" x14ac:dyDescent="0.3">
      <c r="A11" s="201" t="s">
        <v>388</v>
      </c>
      <c r="B11" s="202"/>
      <c r="C11" s="202"/>
      <c r="D11" s="203"/>
    </row>
    <row r="12" spans="1:4" hidden="1" x14ac:dyDescent="0.3">
      <c r="A12" s="8" t="s">
        <v>389</v>
      </c>
      <c r="B12" s="38">
        <f>B$150</f>
        <v>61070.544013763254</v>
      </c>
      <c r="C12" s="38">
        <f t="shared" ref="C12:D12" si="0">C$150</f>
        <v>123229.4118722619</v>
      </c>
      <c r="D12" s="38">
        <f t="shared" si="0"/>
        <v>192166.57247273234</v>
      </c>
    </row>
    <row r="13" spans="1:4" hidden="1" x14ac:dyDescent="0.3">
      <c r="A13" s="9" t="s">
        <v>390</v>
      </c>
      <c r="B13" s="26">
        <f>B$160</f>
        <v>-24409.884532358119</v>
      </c>
      <c r="C13" s="26">
        <f t="shared" ref="C13:D13" si="1">C$160</f>
        <v>-23607.86879497784</v>
      </c>
      <c r="D13" s="26">
        <f t="shared" si="1"/>
        <v>-26580.08995640841</v>
      </c>
    </row>
    <row r="14" spans="1:4" hidden="1" x14ac:dyDescent="0.3">
      <c r="A14" s="9" t="s">
        <v>391</v>
      </c>
      <c r="B14" s="26">
        <f>B$166</f>
        <v>85480.428546121373</v>
      </c>
      <c r="C14" s="26">
        <f t="shared" ref="C14:D14" si="2">C$166</f>
        <v>146837.28066723974</v>
      </c>
      <c r="D14" s="26">
        <f t="shared" si="2"/>
        <v>218746.66242914076</v>
      </c>
    </row>
    <row r="15" spans="1:4" hidden="1" x14ac:dyDescent="0.3">
      <c r="A15" s="9" t="s">
        <v>392</v>
      </c>
      <c r="B15" s="26">
        <f>B$156</f>
        <v>1.5615208932007993</v>
      </c>
      <c r="C15" s="26">
        <f t="shared" ref="C15:D15" si="3">C$156</f>
        <v>2.0982956577476455</v>
      </c>
      <c r="D15" s="26">
        <f t="shared" si="3"/>
        <v>2.606344549305311</v>
      </c>
    </row>
    <row r="16" spans="1:4" hidden="1" x14ac:dyDescent="0.3">
      <c r="A16" s="9" t="s">
        <v>393</v>
      </c>
      <c r="B16" s="26">
        <f>B$299</f>
        <v>0</v>
      </c>
      <c r="C16" s="26">
        <f t="shared" ref="C16:D16" si="4">C$299</f>
        <v>0</v>
      </c>
      <c r="D16" s="26">
        <f t="shared" si="4"/>
        <v>0</v>
      </c>
    </row>
    <row r="17" spans="1:4" hidden="1" x14ac:dyDescent="0.3">
      <c r="A17" s="9" t="s">
        <v>394</v>
      </c>
      <c r="B17" s="26">
        <f>B$300</f>
        <v>0</v>
      </c>
      <c r="C17" s="26">
        <f t="shared" ref="C17:D17" si="5">C$300</f>
        <v>0</v>
      </c>
      <c r="D17" s="26">
        <f t="shared" si="5"/>
        <v>0</v>
      </c>
    </row>
    <row r="18" spans="1:4" hidden="1" x14ac:dyDescent="0.3">
      <c r="A18" s="9" t="s">
        <v>395</v>
      </c>
      <c r="B18" s="26">
        <f>B$307</f>
        <v>23.947089947089946</v>
      </c>
      <c r="C18" s="26">
        <f t="shared" ref="C18:D18" si="6">C$307</f>
        <v>24.333333333333332</v>
      </c>
      <c r="D18" s="26">
        <f t="shared" si="6"/>
        <v>24.333333333333332</v>
      </c>
    </row>
    <row r="19" spans="1:4" hidden="1" x14ac:dyDescent="0.3">
      <c r="A19" s="9" t="s">
        <v>206</v>
      </c>
      <c r="B19" s="26">
        <f>B$314</f>
        <v>28.567042092086645</v>
      </c>
      <c r="C19" s="26">
        <f t="shared" ref="C19:D19" si="7">C$314</f>
        <v>28.63138139644191</v>
      </c>
      <c r="D19" s="26">
        <f t="shared" si="7"/>
        <v>28.672130546636591</v>
      </c>
    </row>
    <row r="20" spans="1:4" hidden="1" x14ac:dyDescent="0.3">
      <c r="A20" s="9" t="s">
        <v>450</v>
      </c>
      <c r="B20" s="26">
        <f>B18-B19</f>
        <v>-4.6199521449966987</v>
      </c>
      <c r="C20" s="26">
        <f t="shared" ref="C20:D20" si="8">C18-C19</f>
        <v>-4.2980480631085776</v>
      </c>
      <c r="D20" s="26">
        <f t="shared" si="8"/>
        <v>-4.3387972133032591</v>
      </c>
    </row>
    <row r="21" spans="1:4" hidden="1" x14ac:dyDescent="0.3">
      <c r="A21" s="83"/>
      <c r="B21" s="41"/>
      <c r="C21" s="41"/>
      <c r="D21" s="41"/>
    </row>
    <row r="22" spans="1:4" hidden="1" x14ac:dyDescent="0.3">
      <c r="A22" s="206" t="s">
        <v>396</v>
      </c>
      <c r="B22" s="204"/>
      <c r="C22" s="204"/>
      <c r="D22" s="205"/>
    </row>
    <row r="23" spans="1:4" hidden="1" x14ac:dyDescent="0.3">
      <c r="A23" s="8" t="s">
        <v>397</v>
      </c>
      <c r="B23" s="210"/>
      <c r="C23" s="210"/>
      <c r="D23" s="210"/>
    </row>
    <row r="24" spans="1:4" hidden="1" x14ac:dyDescent="0.3">
      <c r="A24" s="9" t="s">
        <v>400</v>
      </c>
      <c r="B24" s="211">
        <f>B$228</f>
        <v>2.4598794604453991</v>
      </c>
      <c r="C24" s="211">
        <f t="shared" ref="C24:D24" si="9">C$228</f>
        <v>1.754298239198149</v>
      </c>
      <c r="D24" s="211">
        <f t="shared" si="9"/>
        <v>1.2899240853098572</v>
      </c>
    </row>
    <row r="25" spans="1:4" hidden="1" x14ac:dyDescent="0.3">
      <c r="A25" s="9" t="s">
        <v>401</v>
      </c>
      <c r="B25" s="211">
        <f>B$231</f>
        <v>0.71097258981638989</v>
      </c>
      <c r="C25" s="211">
        <f t="shared" ref="C25:D25" si="10">C$231</f>
        <v>0.63693111161007487</v>
      </c>
      <c r="D25" s="211">
        <f t="shared" si="10"/>
        <v>0.56330430060318504</v>
      </c>
    </row>
    <row r="26" spans="1:4" hidden="1" x14ac:dyDescent="0.3">
      <c r="A26" s="9" t="s">
        <v>399</v>
      </c>
      <c r="B26" s="211">
        <f>B$253</f>
        <v>1.0415522232726668</v>
      </c>
      <c r="C26" s="211">
        <f t="shared" ref="C26:D26" si="11">C$253</f>
        <v>0.31999082376939758</v>
      </c>
      <c r="D26" s="211">
        <f t="shared" si="11"/>
        <v>-0.16713052627797745</v>
      </c>
    </row>
    <row r="27" spans="1:4" hidden="1" x14ac:dyDescent="0.3">
      <c r="A27" s="9" t="s">
        <v>468</v>
      </c>
      <c r="B27" s="211">
        <f>B234</f>
        <v>1.6657257876804945</v>
      </c>
      <c r="C27" s="211">
        <f t="shared" ref="C27:D27" si="12">C234</f>
        <v>1.1330372195890455</v>
      </c>
      <c r="D27" s="211">
        <f t="shared" si="12"/>
        <v>0.51512770460733259</v>
      </c>
    </row>
    <row r="28" spans="1:4" hidden="1" x14ac:dyDescent="0.3">
      <c r="A28" s="9" t="s">
        <v>398</v>
      </c>
      <c r="B28" s="26"/>
      <c r="C28" s="26"/>
      <c r="D28" s="26"/>
    </row>
    <row r="29" spans="1:4" hidden="1" x14ac:dyDescent="0.3">
      <c r="A29" s="9" t="s">
        <v>402</v>
      </c>
      <c r="B29" s="211">
        <f>B$238</f>
        <v>0.40652398464229411</v>
      </c>
      <c r="C29" s="211">
        <f t="shared" ref="C29:D29" si="13">C$238</f>
        <v>0.57002850350980117</v>
      </c>
      <c r="D29" s="211">
        <f t="shared" si="13"/>
        <v>0.775239420201838</v>
      </c>
    </row>
    <row r="30" spans="1:4" hidden="1" x14ac:dyDescent="0.3">
      <c r="A30" s="9" t="s">
        <v>403</v>
      </c>
      <c r="B30" s="211">
        <f>B$239</f>
        <v>0.28902741018361011</v>
      </c>
      <c r="C30" s="211">
        <f t="shared" ref="C30:D30" si="14">C$239</f>
        <v>0.36306888838992513</v>
      </c>
      <c r="D30" s="211">
        <f t="shared" si="14"/>
        <v>0.43669569939681502</v>
      </c>
    </row>
    <row r="31" spans="1:4" hidden="1" x14ac:dyDescent="0.3">
      <c r="A31" s="9" t="s">
        <v>471</v>
      </c>
      <c r="B31" s="211">
        <f>B241</f>
        <v>0.60033890775773446</v>
      </c>
      <c r="C31" s="211">
        <f t="shared" ref="C31:D31" si="15">C241</f>
        <v>0.88258353980878201</v>
      </c>
      <c r="D31" s="211">
        <f t="shared" si="15"/>
        <v>1.9412661968205962</v>
      </c>
    </row>
    <row r="32" spans="1:4" hidden="1" x14ac:dyDescent="0.3">
      <c r="A32" s="9" t="s">
        <v>377</v>
      </c>
      <c r="B32" s="26">
        <f>B$248</f>
        <v>142640.34152580716</v>
      </c>
      <c r="C32" s="26">
        <f t="shared" ref="C32:D32" si="16">C$248</f>
        <v>57790.776322672435</v>
      </c>
      <c r="D32" s="26">
        <f t="shared" si="16"/>
        <v>-38813.25030891184</v>
      </c>
    </row>
    <row r="33" spans="1:4" hidden="1" x14ac:dyDescent="0.3">
      <c r="A33" s="9" t="s">
        <v>476</v>
      </c>
      <c r="B33" s="211">
        <f>B253</f>
        <v>1.0415522232726668</v>
      </c>
      <c r="C33" s="211">
        <f t="shared" ref="C33:D33" si="17">C253</f>
        <v>0.31999082376939758</v>
      </c>
      <c r="D33" s="211">
        <f t="shared" si="17"/>
        <v>-0.16713052627797745</v>
      </c>
    </row>
    <row r="34" spans="1:4" hidden="1" x14ac:dyDescent="0.3">
      <c r="A34" s="9" t="s">
        <v>489</v>
      </c>
      <c r="B34" s="211">
        <f>B257</f>
        <v>1.2131223388239101</v>
      </c>
      <c r="C34" s="211">
        <f t="shared" ref="C34:D34" si="18">C257</f>
        <v>0.51540034280599489</v>
      </c>
      <c r="D34" s="211">
        <f t="shared" si="18"/>
        <v>-0.31913491930527466</v>
      </c>
    </row>
    <row r="35" spans="1:4" hidden="1" x14ac:dyDescent="0.3">
      <c r="A35" s="9" t="s">
        <v>404</v>
      </c>
      <c r="B35" s="211">
        <f>B$265</f>
        <v>9.9085753707616936E-2</v>
      </c>
      <c r="C35" s="211">
        <f t="shared" ref="C35:D35" si="19">C$265</f>
        <v>0.18213890601864274</v>
      </c>
      <c r="D35" s="211">
        <f t="shared" si="19"/>
        <v>0.26745796915167491</v>
      </c>
    </row>
    <row r="36" spans="1:4" hidden="1" x14ac:dyDescent="0.3">
      <c r="A36" s="9" t="s">
        <v>405</v>
      </c>
      <c r="B36" s="26">
        <f>B$271</f>
        <v>5.822235188307225</v>
      </c>
      <c r="C36" s="26">
        <f t="shared" ref="C36:D36" si="20">C$271</f>
        <v>5.8803412775221195</v>
      </c>
      <c r="D36" s="26">
        <f t="shared" si="20"/>
        <v>7.3874354688171406</v>
      </c>
    </row>
    <row r="37" spans="1:4" hidden="1" x14ac:dyDescent="0.3">
      <c r="A37" s="9" t="s">
        <v>406</v>
      </c>
      <c r="B37" s="26"/>
      <c r="C37" s="26">
        <f>B278</f>
        <v>0.27034039992986747</v>
      </c>
      <c r="D37" s="26">
        <f>C278</f>
        <v>0.31256116256160116</v>
      </c>
    </row>
    <row r="38" spans="1:4" hidden="1" x14ac:dyDescent="0.3">
      <c r="A38" s="9" t="s">
        <v>407</v>
      </c>
      <c r="B38" s="26">
        <f>B$284</f>
        <v>1.2131223388239101</v>
      </c>
      <c r="C38" s="26">
        <f t="shared" ref="C38:D38" si="21">C$284</f>
        <v>0.51540034280599489</v>
      </c>
      <c r="D38" s="26">
        <f t="shared" si="21"/>
        <v>-0.31913491930527466</v>
      </c>
    </row>
    <row r="39" spans="1:4" hidden="1" x14ac:dyDescent="0.3">
      <c r="A39" s="83"/>
      <c r="B39" s="41"/>
      <c r="C39" s="41"/>
      <c r="D39" s="41"/>
    </row>
    <row r="40" spans="1:4" hidden="1" x14ac:dyDescent="0.3">
      <c r="A40" s="207" t="s">
        <v>408</v>
      </c>
      <c r="B40" s="208"/>
      <c r="C40" s="208"/>
      <c r="D40" s="209"/>
    </row>
    <row r="41" spans="1:4" hidden="1" x14ac:dyDescent="0.3">
      <c r="A41" s="255" t="s">
        <v>208</v>
      </c>
      <c r="B41" s="38">
        <f>RESULTAAT!B8</f>
        <v>930000</v>
      </c>
      <c r="C41" s="38">
        <f>RESULTAAT!C8</f>
        <v>976500</v>
      </c>
      <c r="D41" s="38">
        <f>RESULTAAT!D8</f>
        <v>1025325</v>
      </c>
    </row>
    <row r="42" spans="1:4" hidden="1" x14ac:dyDescent="0.3">
      <c r="A42" s="9" t="s">
        <v>451</v>
      </c>
      <c r="B42" s="26" t="e">
        <f>'OMZET en BREAK EVEN'!C34</f>
        <v>#REF!</v>
      </c>
      <c r="C42" s="26"/>
      <c r="D42" s="26"/>
    </row>
    <row r="43" spans="1:4" hidden="1" x14ac:dyDescent="0.3">
      <c r="A43" s="9" t="s">
        <v>414</v>
      </c>
      <c r="B43" s="26">
        <f>B$325</f>
        <v>208476.80000000005</v>
      </c>
      <c r="C43" s="26">
        <f t="shared" ref="C43:D43" si="22">C$325</f>
        <v>204888.47999999998</v>
      </c>
      <c r="D43" s="26">
        <f t="shared" si="22"/>
        <v>216284.35800000001</v>
      </c>
    </row>
    <row r="44" spans="1:4" hidden="1" x14ac:dyDescent="0.3">
      <c r="A44" s="9" t="s">
        <v>415</v>
      </c>
      <c r="B44" s="212">
        <f>B$326</f>
        <v>0.22061037037037043</v>
      </c>
      <c r="C44" s="212">
        <f t="shared" ref="C44:D44" si="23">C$326</f>
        <v>0.20981923195084484</v>
      </c>
      <c r="D44" s="212">
        <f t="shared" si="23"/>
        <v>0.21094224562943459</v>
      </c>
    </row>
    <row r="45" spans="1:4" hidden="1" x14ac:dyDescent="0.3">
      <c r="A45" s="9" t="s">
        <v>409</v>
      </c>
      <c r="B45" s="212"/>
      <c r="C45" s="212"/>
      <c r="D45" s="212"/>
    </row>
    <row r="46" spans="1:4" hidden="1" x14ac:dyDescent="0.3">
      <c r="A46" s="9" t="s">
        <v>410</v>
      </c>
      <c r="B46" s="212">
        <f>B$331</f>
        <v>0.41345431242229341</v>
      </c>
      <c r="C46" s="212">
        <f t="shared" ref="C46:D46" si="24">C$331</f>
        <v>0.42910926295124058</v>
      </c>
      <c r="D46" s="212">
        <f t="shared" si="24"/>
        <v>0.4146297788802647</v>
      </c>
    </row>
    <row r="47" spans="1:4" hidden="1" x14ac:dyDescent="0.3">
      <c r="A47" s="9" t="s">
        <v>411</v>
      </c>
      <c r="B47" s="212">
        <f>B$333</f>
        <v>0.20146126571397868</v>
      </c>
      <c r="C47" s="212">
        <f t="shared" ref="C47:D47" si="25">C$333</f>
        <v>0.20498956310281574</v>
      </c>
      <c r="D47" s="212">
        <f t="shared" si="25"/>
        <v>0.1941888002830052</v>
      </c>
    </row>
    <row r="48" spans="1:4" hidden="1" x14ac:dyDescent="0.3">
      <c r="A48" s="9" t="s">
        <v>412</v>
      </c>
      <c r="B48" s="212">
        <f>B$335</f>
        <v>6.2268172817728312E-2</v>
      </c>
      <c r="C48" s="212">
        <f t="shared" ref="C48:D48" si="26">C$335</f>
        <v>5.8206432295819246E-2</v>
      </c>
      <c r="D48" s="212">
        <f t="shared" si="26"/>
        <v>4.9831551728126845E-2</v>
      </c>
    </row>
    <row r="49" spans="1:4" hidden="1" x14ac:dyDescent="0.3">
      <c r="A49" s="9" t="s">
        <v>413</v>
      </c>
      <c r="B49" s="212">
        <f>B$337</f>
        <v>7.5067943518311225E-2</v>
      </c>
      <c r="C49" s="212">
        <f t="shared" ref="C49:D49" si="27">C$337</f>
        <v>7.1016813537645815E-2</v>
      </c>
      <c r="D49" s="212">
        <f t="shared" si="27"/>
        <v>7.9573955243608371E-2</v>
      </c>
    </row>
    <row r="50" spans="1:4" hidden="1" x14ac:dyDescent="0.3">
      <c r="A50" s="9" t="s">
        <v>483</v>
      </c>
      <c r="B50" s="212">
        <f>B$341</f>
        <v>1.4390090408141334</v>
      </c>
      <c r="C50" s="212">
        <f t="shared" ref="C50:D50" si="28">C$341</f>
        <v>0.12201759708500938</v>
      </c>
      <c r="D50" s="212">
        <f t="shared" si="28"/>
        <v>0</v>
      </c>
    </row>
    <row r="51" spans="1:4" hidden="1" x14ac:dyDescent="0.3">
      <c r="A51" s="9" t="s">
        <v>416</v>
      </c>
      <c r="B51" s="212">
        <f>B$350</f>
        <v>0.34282476407573537</v>
      </c>
      <c r="C51" s="212">
        <f t="shared" ref="C51:D51" si="29">C$350</f>
        <v>0.24170129271151491</v>
      </c>
      <c r="D51" s="212">
        <f t="shared" si="29"/>
        <v>0.2223274462259503</v>
      </c>
    </row>
    <row r="52" spans="1:4" hidden="1" x14ac:dyDescent="0.3">
      <c r="A52" s="9" t="s">
        <v>417</v>
      </c>
      <c r="B52" s="212">
        <f>B$351</f>
        <v>0.15951124720344825</v>
      </c>
      <c r="C52" s="212">
        <f t="shared" ref="C52:D52" si="30">C$351</f>
        <v>0.14098051231576922</v>
      </c>
      <c r="D52" s="212">
        <f t="shared" si="30"/>
        <v>0.14971934060922359</v>
      </c>
    </row>
    <row r="53" spans="1:4" hidden="1" x14ac:dyDescent="0.3">
      <c r="A53" s="9" t="s">
        <v>478</v>
      </c>
      <c r="B53" s="212"/>
      <c r="C53" s="212">
        <f>C355</f>
        <v>0.47425768758108994</v>
      </c>
      <c r="D53" s="212">
        <f>D355</f>
        <v>0.40318017172065901</v>
      </c>
    </row>
    <row r="54" spans="1:4" hidden="1" x14ac:dyDescent="0.3">
      <c r="A54" s="9" t="s">
        <v>452</v>
      </c>
      <c r="B54" s="9">
        <f>B$361</f>
        <v>2.8656266780442574</v>
      </c>
      <c r="C54" s="9">
        <f t="shared" ref="C54:D54" si="31">C$361</f>
        <v>2.2859073568990911</v>
      </c>
      <c r="D54" s="9">
        <f t="shared" si="31"/>
        <v>1.9799485741902294</v>
      </c>
    </row>
    <row r="55" spans="1:4" hidden="1" x14ac:dyDescent="0.3">
      <c r="A55" s="9" t="s">
        <v>453</v>
      </c>
      <c r="B55" s="9">
        <f>B365</f>
        <v>1.2073727143016091</v>
      </c>
      <c r="C55" s="9">
        <f t="shared" ref="C55:D55" si="32">C365</f>
        <v>1.2049037030680214</v>
      </c>
      <c r="D55" s="9">
        <f t="shared" si="32"/>
        <v>1.1565573546506898</v>
      </c>
    </row>
    <row r="56" spans="1:4" hidden="1" x14ac:dyDescent="0.3">
      <c r="A56" s="9" t="s">
        <v>418</v>
      </c>
      <c r="B56" s="212">
        <f>B$371</f>
        <v>0.12643136344086028</v>
      </c>
      <c r="C56" s="212">
        <f t="shared" ref="C56:D56" si="33">C$371</f>
        <v>0.1148263546953405</v>
      </c>
      <c r="D56" s="212">
        <f t="shared" si="33"/>
        <v>0.11861623628332479</v>
      </c>
    </row>
    <row r="57" spans="1:4" hidden="1" x14ac:dyDescent="0.3">
      <c r="A57" s="9" t="s">
        <v>419</v>
      </c>
      <c r="B57" s="212">
        <f>B$372</f>
        <v>8.1270073118279634E-2</v>
      </c>
      <c r="C57" s="212">
        <f t="shared" ref="C57:D57" si="34">C$372</f>
        <v>7.1815602007168466E-2</v>
      </c>
      <c r="D57" s="212">
        <f t="shared" si="34"/>
        <v>7.7653614675541896E-2</v>
      </c>
    </row>
    <row r="58" spans="1:4" hidden="1" x14ac:dyDescent="0.3">
      <c r="A58" s="9" t="s">
        <v>482</v>
      </c>
      <c r="B58" s="9" t="e">
        <f>B$377</f>
        <v>#REF!</v>
      </c>
      <c r="C58" s="9">
        <f t="shared" ref="C58:D58" si="35">C$377</f>
        <v>15.745523421664378</v>
      </c>
      <c r="D58" s="9">
        <f t="shared" si="35"/>
        <v>14.012295388623615</v>
      </c>
    </row>
    <row r="59" spans="1:4" hidden="1" x14ac:dyDescent="0.3">
      <c r="A59" s="9" t="s">
        <v>420</v>
      </c>
      <c r="B59" s="212">
        <f>B$385</f>
        <v>1.8964704516129043</v>
      </c>
      <c r="C59" s="212">
        <f t="shared" ref="C59:D59" si="36">C$385</f>
        <v>1.7223953204301077</v>
      </c>
      <c r="D59" s="212">
        <f t="shared" si="36"/>
        <v>1.7792435442498717</v>
      </c>
    </row>
    <row r="60" spans="1:4" hidden="1" x14ac:dyDescent="0.3">
      <c r="A60" s="9" t="s">
        <v>421</v>
      </c>
      <c r="B60" s="9">
        <f>B$386</f>
        <v>15</v>
      </c>
      <c r="C60" s="9">
        <f t="shared" ref="C60:D60" si="37">C$386</f>
        <v>15</v>
      </c>
      <c r="D60" s="9">
        <f t="shared" si="37"/>
        <v>15</v>
      </c>
    </row>
    <row r="61" spans="1:4" hidden="1" x14ac:dyDescent="0.3">
      <c r="A61" s="9" t="s">
        <v>454</v>
      </c>
      <c r="B61" s="211">
        <f>B393</f>
        <v>0.24815068689224512</v>
      </c>
      <c r="C61" s="211">
        <f t="shared" ref="C61:D61" si="38">C393</f>
        <v>0.22541450408903435</v>
      </c>
      <c r="D61" s="211">
        <f t="shared" si="38"/>
        <v>0.2286969480569557</v>
      </c>
    </row>
    <row r="62" spans="1:4" hidden="1" x14ac:dyDescent="0.3">
      <c r="A62" s="83" t="s">
        <v>455</v>
      </c>
      <c r="B62" s="259">
        <f>B394</f>
        <v>0.15951124720344828</v>
      </c>
      <c r="C62" s="259">
        <f t="shared" ref="C62:D62" si="39">C394</f>
        <v>0.14098051231576925</v>
      </c>
      <c r="D62" s="259">
        <f t="shared" si="39"/>
        <v>0.14971934060922365</v>
      </c>
    </row>
    <row r="63" spans="1:4" ht="15.6" hidden="1" x14ac:dyDescent="0.3">
      <c r="A63" s="104"/>
    </row>
    <row r="64" spans="1:4" ht="15.6" hidden="1" x14ac:dyDescent="0.3">
      <c r="A64" s="104"/>
    </row>
    <row r="65" spans="1:15" ht="15.6" x14ac:dyDescent="0.3">
      <c r="A65" s="104"/>
    </row>
    <row r="66" spans="1:15" ht="15.6" x14ac:dyDescent="0.3">
      <c r="A66" s="104" t="str">
        <f>A1</f>
        <v>VDO</v>
      </c>
    </row>
    <row r="67" spans="1:15" ht="15.6" x14ac:dyDescent="0.3">
      <c r="A67" s="104" t="s">
        <v>422</v>
      </c>
    </row>
    <row r="68" spans="1:15" ht="15.6" x14ac:dyDescent="0.3">
      <c r="A68" s="104"/>
    </row>
    <row r="69" spans="1:15" s="16" customFormat="1" ht="15" customHeight="1" x14ac:dyDescent="0.3">
      <c r="B69" s="32" t="str">
        <f>ACTIVA!B4</f>
        <v>Jaar 1</v>
      </c>
      <c r="C69" s="32" t="str">
        <f>ACTIVA!D4</f>
        <v>Jaar 2</v>
      </c>
      <c r="D69" s="32" t="str">
        <f>ACTIVA!F4</f>
        <v>Jaar 3</v>
      </c>
      <c r="E69" s="57"/>
      <c r="F69" s="4"/>
      <c r="G69" s="4"/>
      <c r="H69" s="4"/>
      <c r="I69" s="4"/>
      <c r="J69" s="4"/>
      <c r="K69" s="4"/>
      <c r="L69" s="4"/>
      <c r="M69" s="4"/>
      <c r="N69" s="4"/>
      <c r="O69" s="57"/>
    </row>
    <row r="70" spans="1:15" ht="15" customHeight="1" x14ac:dyDescent="0.3">
      <c r="A70" s="7"/>
      <c r="B70" s="339" t="s">
        <v>63</v>
      </c>
      <c r="C70" s="340"/>
      <c r="D70" s="341"/>
    </row>
    <row r="71" spans="1:15" ht="6.75" customHeight="1" x14ac:dyDescent="0.3">
      <c r="A71" s="7"/>
      <c r="B71" s="26"/>
      <c r="C71" s="27"/>
      <c r="D71" s="27"/>
    </row>
    <row r="72" spans="1:15" ht="15" customHeight="1" x14ac:dyDescent="0.3">
      <c r="A72" s="7" t="s">
        <v>147</v>
      </c>
      <c r="B72" s="9">
        <f>PASSIVA!B8</f>
        <v>90000</v>
      </c>
      <c r="C72" s="9"/>
      <c r="D72" s="9"/>
    </row>
    <row r="73" spans="1:15" ht="15" customHeight="1" x14ac:dyDescent="0.3">
      <c r="A73" s="7" t="s">
        <v>295</v>
      </c>
      <c r="B73" s="9">
        <f>PASSIVA!B31</f>
        <v>0</v>
      </c>
      <c r="C73" s="9"/>
      <c r="D73" s="9"/>
    </row>
    <row r="74" spans="1:15" ht="15" customHeight="1" x14ac:dyDescent="0.3">
      <c r="A74" s="7" t="s">
        <v>283</v>
      </c>
      <c r="B74" s="9">
        <f>'70-40-44-55'!G13</f>
        <v>868000</v>
      </c>
      <c r="C74" s="9">
        <f>'70-40-44-55'!G17-'70-40-44-55'!G13</f>
        <v>973400</v>
      </c>
      <c r="D74" s="9">
        <f>'70-40-44-55'!G21-'70-40-44-55'!G17</f>
        <v>1022070</v>
      </c>
    </row>
    <row r="75" spans="1:15" ht="15" customHeight="1" x14ac:dyDescent="0.3">
      <c r="A75" s="7" t="s">
        <v>298</v>
      </c>
      <c r="B75" s="9"/>
      <c r="C75" s="9"/>
      <c r="D75" s="9"/>
    </row>
    <row r="76" spans="1:15" ht="15" customHeight="1" x14ac:dyDescent="0.3">
      <c r="A76" s="7" t="s">
        <v>579</v>
      </c>
      <c r="B76" s="9">
        <f>OPGAVE!B23</f>
        <v>15000</v>
      </c>
      <c r="C76" s="9"/>
      <c r="D76" s="9"/>
    </row>
    <row r="77" spans="1:15" ht="15" customHeight="1" x14ac:dyDescent="0.3">
      <c r="A77" s="7" t="s">
        <v>27</v>
      </c>
      <c r="B77" s="9"/>
      <c r="C77" s="9"/>
      <c r="D77" s="9"/>
    </row>
    <row r="78" spans="1:15" ht="7.5" customHeight="1" x14ac:dyDescent="0.3">
      <c r="A78" s="17"/>
      <c r="B78" s="9"/>
      <c r="C78" s="9"/>
      <c r="D78" s="9"/>
    </row>
    <row r="79" spans="1:15" ht="15" customHeight="1" x14ac:dyDescent="0.3">
      <c r="A79" s="31" t="s">
        <v>148</v>
      </c>
      <c r="B79" s="97">
        <f>SUM(B71:B77)</f>
        <v>973000</v>
      </c>
      <c r="C79" s="97">
        <f>SUM(C72:C77)</f>
        <v>973400</v>
      </c>
      <c r="D79" s="97">
        <f>SUM(D72:D77)</f>
        <v>1022070</v>
      </c>
    </row>
    <row r="80" spans="1:15" ht="6.75" customHeight="1" x14ac:dyDescent="0.3">
      <c r="A80" s="13"/>
      <c r="B80" s="50"/>
      <c r="C80" s="51"/>
      <c r="D80" s="62"/>
    </row>
    <row r="81" spans="1:18" ht="15" customHeight="1" x14ac:dyDescent="0.3">
      <c r="A81" s="7"/>
      <c r="B81" s="336" t="s">
        <v>64</v>
      </c>
      <c r="C81" s="337"/>
      <c r="D81" s="338"/>
    </row>
    <row r="82" spans="1:18" ht="15" customHeight="1" x14ac:dyDescent="0.3">
      <c r="A82" s="7" t="s">
        <v>284</v>
      </c>
      <c r="B82" s="9">
        <f>SUM(Aflossingstabel!F14:F24)</f>
        <v>19529.948500198203</v>
      </c>
      <c r="C82" s="9">
        <f>SUM(Aflossingstabel!F25:F36)</f>
        <v>22349.281427873371</v>
      </c>
      <c r="D82" s="9">
        <f>SUM(Aflossingstabel!F37:F48)</f>
        <v>23492.713082016344</v>
      </c>
    </row>
    <row r="83" spans="1:18" ht="15" customHeight="1" x14ac:dyDescent="0.3">
      <c r="A83" s="7" t="s">
        <v>576</v>
      </c>
      <c r="B83" s="9">
        <f>-DETAILS!B83</f>
        <v>30000</v>
      </c>
      <c r="C83" s="9"/>
      <c r="D83" s="9"/>
    </row>
    <row r="84" spans="1:18" ht="15" customHeight="1" x14ac:dyDescent="0.3">
      <c r="A84" s="7" t="s">
        <v>71</v>
      </c>
      <c r="B84" s="9">
        <f>OPGAVE!B20+OPGAVE!B21</f>
        <v>46000</v>
      </c>
      <c r="C84" s="9"/>
      <c r="D84" s="9"/>
    </row>
    <row r="85" spans="1:18" ht="15" customHeight="1" x14ac:dyDescent="0.3">
      <c r="A85" s="7" t="s">
        <v>72</v>
      </c>
      <c r="B85" s="9">
        <f>'70-40-44-55'!H28</f>
        <v>488250</v>
      </c>
      <c r="C85" s="9">
        <f>'70-40-44-55'!H31-'70-40-44-55'!H28</f>
        <v>582412.5</v>
      </c>
      <c r="D85" s="9">
        <f>'70-40-44-55'!H34-'70-40-44-55'!H31</f>
        <v>611533.125</v>
      </c>
    </row>
    <row r="86" spans="1:18" ht="15" customHeight="1" x14ac:dyDescent="0.3">
      <c r="A86" s="7" t="s">
        <v>261</v>
      </c>
      <c r="B86" s="9">
        <f>DETAILS!B54</f>
        <v>178523.2</v>
      </c>
      <c r="C86" s="9">
        <f>DETAILS!C54</f>
        <v>185711.52000000002</v>
      </c>
      <c r="D86" s="9">
        <f>DETAILS!D54</f>
        <v>193845.64200000002</v>
      </c>
      <c r="Q86" s="214"/>
      <c r="R86" s="214"/>
    </row>
    <row r="87" spans="1:18" ht="15" customHeight="1" x14ac:dyDescent="0.3">
      <c r="A87" s="7" t="s">
        <v>244</v>
      </c>
      <c r="B87" s="9">
        <f>DETAILS!B74</f>
        <v>86195.631999999998</v>
      </c>
      <c r="C87" s="9">
        <f>DETAILS!C74</f>
        <v>87919.544639999993</v>
      </c>
      <c r="D87" s="9">
        <f>DETAILS!D74</f>
        <v>89677.935532800009</v>
      </c>
    </row>
    <row r="88" spans="1:18" ht="15" customHeight="1" x14ac:dyDescent="0.3">
      <c r="A88" s="7" t="s">
        <v>75</v>
      </c>
      <c r="B88" s="9">
        <f>DETAILS!B91</f>
        <v>4700</v>
      </c>
      <c r="C88" s="9">
        <f>DETAILS!B92</f>
        <v>4841</v>
      </c>
      <c r="D88" s="9">
        <f>DETAILS!B93</f>
        <v>4986.2300000000005</v>
      </c>
    </row>
    <row r="89" spans="1:18" ht="15" customHeight="1" x14ac:dyDescent="0.3">
      <c r="A89" s="7" t="s">
        <v>29</v>
      </c>
      <c r="B89" s="9">
        <f>SUM(Aflossingstabel!E14:E24)</f>
        <v>11971.50952580714</v>
      </c>
      <c r="C89" s="9">
        <f>SUM(Aflossingstabel!E25:E36)</f>
        <v>12015.945509587</v>
      </c>
      <c r="D89" s="9">
        <f>SUM(Aflossingstabel!E37:E48)</f>
        <v>10872.513855444029</v>
      </c>
    </row>
    <row r="90" spans="1:18" ht="15" customHeight="1" x14ac:dyDescent="0.3">
      <c r="A90" s="7" t="s">
        <v>24</v>
      </c>
      <c r="B90" s="9"/>
      <c r="C90" s="9">
        <f>RESULTAAT!B52</f>
        <v>15649.924647278269</v>
      </c>
      <c r="D90" s="9">
        <f>RESULTAAT!C52</f>
        <v>14550.526980171671</v>
      </c>
    </row>
    <row r="91" spans="1:18" ht="9" customHeight="1" x14ac:dyDescent="0.3">
      <c r="A91" s="17"/>
      <c r="B91" s="9"/>
      <c r="C91" s="9"/>
      <c r="D91" s="9"/>
    </row>
    <row r="92" spans="1:18" s="10" customFormat="1" ht="15" customHeight="1" x14ac:dyDescent="0.3">
      <c r="A92" s="31" t="s">
        <v>149</v>
      </c>
      <c r="B92" s="31">
        <f>SUM(B82:B90)</f>
        <v>865170.29002600536</v>
      </c>
      <c r="C92" s="31">
        <f>SUM(C82:C90)</f>
        <v>910899.71622473863</v>
      </c>
      <c r="D92" s="31">
        <f>SUM(D82:D90)</f>
        <v>948958.68645043205</v>
      </c>
      <c r="E92" s="20"/>
      <c r="F92" s="55"/>
      <c r="G92" s="55"/>
      <c r="H92" s="55"/>
      <c r="I92" s="55"/>
      <c r="J92" s="55"/>
      <c r="K92" s="55"/>
      <c r="L92" s="55"/>
      <c r="M92" s="55"/>
      <c r="N92" s="55"/>
      <c r="O92" s="20"/>
    </row>
    <row r="93" spans="1:18" ht="15" customHeight="1" x14ac:dyDescent="0.3">
      <c r="A93" s="215" t="s">
        <v>150</v>
      </c>
      <c r="B93" s="215">
        <f>B79-B92</f>
        <v>107829.70997399464</v>
      </c>
      <c r="C93" s="215">
        <f>C79-C92</f>
        <v>62500.28377526137</v>
      </c>
      <c r="D93" s="215">
        <f>D79-D92</f>
        <v>73111.313549567945</v>
      </c>
    </row>
    <row r="94" spans="1:18" ht="15" customHeight="1" x14ac:dyDescent="0.3">
      <c r="A94" s="31" t="s">
        <v>151</v>
      </c>
      <c r="B94" s="213">
        <f>B93</f>
        <v>107829.70997399464</v>
      </c>
      <c r="C94" s="213">
        <f>B94+C93</f>
        <v>170329.99374925601</v>
      </c>
      <c r="D94" s="213">
        <f>C94+D93</f>
        <v>243441.30729882396</v>
      </c>
    </row>
    <row r="95" spans="1:18" ht="15" customHeight="1" x14ac:dyDescent="0.3">
      <c r="A95" s="10" t="s">
        <v>577</v>
      </c>
      <c r="B95" s="310">
        <f>'70-40-44-55'!C54</f>
        <v>107829.70997399476</v>
      </c>
      <c r="C95" s="310">
        <f>'70-40-44-55'!C65</f>
        <v>170329.99374925601</v>
      </c>
      <c r="D95" s="310">
        <f>'70-40-44-55'!C74</f>
        <v>243441.30729882396</v>
      </c>
    </row>
    <row r="96" spans="1:18" ht="15" customHeight="1" x14ac:dyDescent="0.3">
      <c r="A96" s="10"/>
      <c r="B96" s="119"/>
      <c r="C96" s="119"/>
      <c r="D96" s="119"/>
    </row>
    <row r="97" spans="1:14" ht="15.6" x14ac:dyDescent="0.3">
      <c r="A97" s="104" t="s">
        <v>291</v>
      </c>
    </row>
    <row r="98" spans="1:14" ht="6" customHeight="1" x14ac:dyDescent="0.3"/>
    <row r="99" spans="1:14" x14ac:dyDescent="0.3">
      <c r="A99" s="21"/>
      <c r="B99" s="29" t="s">
        <v>100</v>
      </c>
      <c r="C99" s="29" t="s">
        <v>179</v>
      </c>
    </row>
    <row r="100" spans="1:14" x14ac:dyDescent="0.3">
      <c r="A100" s="6" t="s">
        <v>165</v>
      </c>
      <c r="B100" s="26">
        <f>RESULTAAT!C48</f>
        <v>58202.107920686685</v>
      </c>
      <c r="C100" s="26">
        <f>RESULTAAT!D48</f>
        <v>68842.407293538286</v>
      </c>
    </row>
    <row r="101" spans="1:14" x14ac:dyDescent="0.3">
      <c r="A101" s="6" t="s">
        <v>180</v>
      </c>
      <c r="B101" s="26">
        <f>RESULTAAT!C28</f>
        <v>42000</v>
      </c>
      <c r="C101" s="26">
        <f>RESULTAAT!D28+RESULTAAT!D35</f>
        <v>42000</v>
      </c>
    </row>
    <row r="102" spans="1:14" x14ac:dyDescent="0.3">
      <c r="A102" s="6" t="s">
        <v>181</v>
      </c>
      <c r="B102" s="26"/>
      <c r="C102" s="26"/>
    </row>
    <row r="103" spans="1:14" x14ac:dyDescent="0.3">
      <c r="A103" s="6" t="s">
        <v>182</v>
      </c>
      <c r="B103" s="319">
        <f>RESULTAAT!C45</f>
        <v>11925.827439313314</v>
      </c>
      <c r="C103" s="319">
        <f>RESULTAAT!D45</f>
        <v>10777.785173661705</v>
      </c>
    </row>
    <row r="104" spans="1:14" ht="6" customHeight="1" x14ac:dyDescent="0.3">
      <c r="B104" s="26"/>
      <c r="C104" s="26"/>
    </row>
    <row r="105" spans="1:14" x14ac:dyDescent="0.3">
      <c r="A105" s="216" t="s">
        <v>309</v>
      </c>
      <c r="B105" s="217">
        <f>B100+B101+B103-B102</f>
        <v>112127.93536</v>
      </c>
      <c r="C105" s="217">
        <f>C100+C101+C103-C102</f>
        <v>121620.19246719999</v>
      </c>
    </row>
    <row r="106" spans="1:14" ht="6" customHeight="1" x14ac:dyDescent="0.3">
      <c r="B106" s="26"/>
      <c r="C106" s="26"/>
    </row>
    <row r="107" spans="1:14" x14ac:dyDescent="0.3">
      <c r="A107" s="6" t="s">
        <v>183</v>
      </c>
      <c r="B107" s="26">
        <f>RESULTAAT!C52</f>
        <v>14550.526980171671</v>
      </c>
      <c r="C107" s="26">
        <f>RESULTAAT!D52</f>
        <v>17210.601823384572</v>
      </c>
    </row>
    <row r="108" spans="1:14" ht="6.75" customHeight="1" x14ac:dyDescent="0.3">
      <c r="B108" s="26"/>
      <c r="C108" s="26"/>
    </row>
    <row r="109" spans="1:14" ht="15" customHeight="1" x14ac:dyDescent="0.3">
      <c r="A109" s="270" t="s">
        <v>487</v>
      </c>
      <c r="B109" s="271">
        <f>B111-B103</f>
        <v>85651.580940515007</v>
      </c>
      <c r="C109" s="271">
        <f>C111-C103</f>
        <v>93631.805470153718</v>
      </c>
    </row>
    <row r="110" spans="1:14" ht="8.25" customHeight="1" x14ac:dyDescent="0.3">
      <c r="B110" s="26"/>
      <c r="C110" s="26"/>
    </row>
    <row r="111" spans="1:14" s="10" customFormat="1" ht="15.75" customHeight="1" x14ac:dyDescent="0.3">
      <c r="A111" s="216" t="s">
        <v>166</v>
      </c>
      <c r="B111" s="217">
        <f>B105-B107</f>
        <v>97577.408379828325</v>
      </c>
      <c r="C111" s="217">
        <f>C105-C107</f>
        <v>104409.59064381542</v>
      </c>
      <c r="D111" s="122"/>
      <c r="N111" s="1"/>
    </row>
    <row r="112" spans="1:14" ht="7.5" customHeight="1" x14ac:dyDescent="0.3">
      <c r="B112" s="26"/>
      <c r="C112" s="26"/>
    </row>
    <row r="113" spans="1:15" x14ac:dyDescent="0.3">
      <c r="A113" s="6" t="s">
        <v>167</v>
      </c>
      <c r="B113" s="26"/>
      <c r="C113" s="26"/>
    </row>
    <row r="114" spans="1:15" x14ac:dyDescent="0.3">
      <c r="A114" s="6" t="s">
        <v>168</v>
      </c>
      <c r="B114" s="26">
        <f>(ACTIVA!I30+ACTIVA!I34+ACTIVA!I42)*-1</f>
        <v>-3100</v>
      </c>
      <c r="C114" s="26">
        <f>(ACTIVA!J30+ACTIVA!J34+ACTIVA!J42)*-1</f>
        <v>-3255</v>
      </c>
      <c r="F114" s="1" t="s">
        <v>184</v>
      </c>
    </row>
    <row r="115" spans="1:15" x14ac:dyDescent="0.3">
      <c r="A115" s="6" t="s">
        <v>169</v>
      </c>
      <c r="B115" s="41">
        <f>PASSIVA!K45+PASSIVA!K48+PASSIVA!K53+PASSIVA!K56</f>
        <v>2297.9842626197201</v>
      </c>
      <c r="C115" s="41">
        <f>PASSIVA!L45+PASSIVA!L48+PASSIVA!L53+PASSIVA!L56</f>
        <v>6227.2211614305761</v>
      </c>
    </row>
    <row r="116" spans="1:15" s="122" customFormat="1" x14ac:dyDescent="0.3">
      <c r="A116" s="122" t="s">
        <v>290</v>
      </c>
      <c r="B116" s="165">
        <f>SUM(B114:B115)</f>
        <v>-802.01573738027992</v>
      </c>
      <c r="C116" s="165">
        <f>SUM(C114:C115)</f>
        <v>2972.2211614305761</v>
      </c>
      <c r="D116" s="124"/>
      <c r="E116" s="124"/>
      <c r="F116" s="166"/>
      <c r="G116" s="166"/>
      <c r="H116" s="166"/>
      <c r="I116" s="166"/>
      <c r="J116" s="166"/>
      <c r="K116" s="166"/>
      <c r="L116" s="166"/>
      <c r="M116" s="166"/>
      <c r="N116" s="166"/>
      <c r="O116" s="124"/>
    </row>
    <row r="117" spans="1:15" ht="7.5" customHeight="1" x14ac:dyDescent="0.3">
      <c r="B117" s="26"/>
      <c r="C117" s="26"/>
    </row>
    <row r="118" spans="1:15" s="10" customFormat="1" ht="15.75" customHeight="1" x14ac:dyDescent="0.3">
      <c r="A118" s="216" t="s">
        <v>287</v>
      </c>
      <c r="B118" s="217">
        <f>B111+B116</f>
        <v>96775.392642448045</v>
      </c>
      <c r="C118" s="217">
        <f>C111+C116</f>
        <v>107381.81180524599</v>
      </c>
      <c r="D118" s="124"/>
      <c r="E118" s="20"/>
      <c r="F118" s="55"/>
      <c r="G118" s="55"/>
      <c r="H118" s="55"/>
      <c r="I118" s="55"/>
      <c r="J118" s="55"/>
      <c r="K118" s="55"/>
      <c r="L118" s="55"/>
      <c r="M118" s="55"/>
      <c r="N118" s="55"/>
      <c r="O118" s="20"/>
    </row>
    <row r="119" spans="1:15" ht="6.75" customHeight="1" x14ac:dyDescent="0.3">
      <c r="B119" s="26"/>
      <c r="C119" s="26"/>
    </row>
    <row r="120" spans="1:15" x14ac:dyDescent="0.3">
      <c r="A120" s="6" t="s">
        <v>170</v>
      </c>
      <c r="B120" s="26"/>
      <c r="C120" s="26"/>
    </row>
    <row r="121" spans="1:15" x14ac:dyDescent="0.3">
      <c r="A121" s="6" t="s">
        <v>171</v>
      </c>
      <c r="B121" s="26">
        <f>-ACTIVA!I8</f>
        <v>42000</v>
      </c>
      <c r="C121" s="26">
        <f>-ACTIVA!J8</f>
        <v>42000</v>
      </c>
      <c r="F121" s="1" t="s">
        <v>185</v>
      </c>
    </row>
    <row r="122" spans="1:15" x14ac:dyDescent="0.3">
      <c r="A122" s="6" t="s">
        <v>447</v>
      </c>
      <c r="B122" s="162"/>
      <c r="C122" s="253"/>
    </row>
    <row r="123" spans="1:15" x14ac:dyDescent="0.3">
      <c r="A123" s="6" t="s">
        <v>172</v>
      </c>
      <c r="B123" s="41">
        <f>-RESULTAAT!C29</f>
        <v>-42000</v>
      </c>
      <c r="C123" s="41">
        <f>-RESULTAAT!D29</f>
        <v>-42000</v>
      </c>
      <c r="F123" s="1" t="s">
        <v>186</v>
      </c>
    </row>
    <row r="124" spans="1:15" s="53" customFormat="1" ht="15.75" customHeight="1" x14ac:dyDescent="0.3">
      <c r="A124" s="122" t="s">
        <v>289</v>
      </c>
      <c r="B124" s="123">
        <f>SUM(B121:B123)</f>
        <v>0</v>
      </c>
      <c r="C124" s="123">
        <f>SUM(C121:C123)</f>
        <v>0</v>
      </c>
      <c r="D124" s="2"/>
      <c r="E124" s="58"/>
      <c r="F124" s="1" t="s">
        <v>187</v>
      </c>
      <c r="G124" s="56"/>
      <c r="H124" s="56"/>
      <c r="I124" s="56"/>
      <c r="J124" s="56"/>
      <c r="K124" s="56"/>
      <c r="L124" s="56"/>
      <c r="M124" s="56"/>
      <c r="N124" s="56"/>
      <c r="O124" s="58"/>
    </row>
    <row r="125" spans="1:15" ht="6.75" customHeight="1" x14ac:dyDescent="0.3">
      <c r="B125" s="26"/>
      <c r="C125" s="26"/>
    </row>
    <row r="126" spans="1:15" s="53" customFormat="1" ht="15.75" customHeight="1" x14ac:dyDescent="0.3">
      <c r="A126" s="217" t="s">
        <v>288</v>
      </c>
      <c r="B126" s="217">
        <f>B118+B124</f>
        <v>96775.392642448045</v>
      </c>
      <c r="C126" s="217">
        <f>C118+C124</f>
        <v>107381.81180524599</v>
      </c>
      <c r="D126" s="2"/>
      <c r="E126" s="58"/>
      <c r="F126" s="56"/>
      <c r="G126" s="56"/>
      <c r="H126" s="56"/>
      <c r="I126" s="56"/>
      <c r="J126" s="56"/>
      <c r="K126" s="56"/>
      <c r="L126" s="56"/>
      <c r="M126" s="56"/>
      <c r="N126" s="56"/>
      <c r="O126" s="58"/>
    </row>
    <row r="127" spans="1:15" x14ac:dyDescent="0.3">
      <c r="B127" s="26"/>
      <c r="C127" s="26"/>
      <c r="F127" s="59"/>
      <c r="G127" s="59" t="s">
        <v>189</v>
      </c>
      <c r="H127" s="59" t="s">
        <v>188</v>
      </c>
      <c r="M127" s="59" t="s">
        <v>189</v>
      </c>
      <c r="N127" s="59" t="s">
        <v>188</v>
      </c>
    </row>
    <row r="128" spans="1:15" x14ac:dyDescent="0.3">
      <c r="A128" s="6" t="s">
        <v>170</v>
      </c>
      <c r="B128" s="26"/>
      <c r="C128" s="26"/>
      <c r="F128" s="60">
        <v>23</v>
      </c>
      <c r="G128" s="1">
        <v>100000</v>
      </c>
      <c r="H128" s="1">
        <v>170000</v>
      </c>
      <c r="I128" s="61">
        <f>H128-G128</f>
        <v>70000</v>
      </c>
      <c r="M128" s="1">
        <v>100000</v>
      </c>
      <c r="N128" s="1">
        <v>90000</v>
      </c>
      <c r="O128" s="34">
        <f>N128-M128</f>
        <v>-10000</v>
      </c>
    </row>
    <row r="129" spans="1:16" x14ac:dyDescent="0.3">
      <c r="A129" s="6" t="s">
        <v>173</v>
      </c>
      <c r="B129" s="26">
        <f>PASSIVA!K6</f>
        <v>43651.580940515007</v>
      </c>
      <c r="C129" s="26">
        <f>PASSIVA!L6</f>
        <v>51631.805470153718</v>
      </c>
      <c r="F129" s="60">
        <v>2309</v>
      </c>
      <c r="G129" s="1">
        <v>-20000</v>
      </c>
      <c r="H129" s="1">
        <f>G129-20000-7000</f>
        <v>-47000</v>
      </c>
      <c r="M129" s="1">
        <v>-20000</v>
      </c>
      <c r="N129" s="1">
        <f>M129+2000-18000</f>
        <v>-36000</v>
      </c>
    </row>
    <row r="130" spans="1:16" x14ac:dyDescent="0.3">
      <c r="A130" s="6" t="s">
        <v>285</v>
      </c>
      <c r="B130" s="26">
        <f>-RESULTAAT!C59</f>
        <v>-43651.580940515014</v>
      </c>
      <c r="C130" s="26">
        <f>-RESULTAAT!D59</f>
        <v>-51631.805470153718</v>
      </c>
      <c r="F130" s="60"/>
    </row>
    <row r="131" spans="1:16" x14ac:dyDescent="0.3">
      <c r="A131" s="6" t="s">
        <v>299</v>
      </c>
      <c r="B131" s="26"/>
      <c r="C131" s="26">
        <f>-PASSIVA!F16</f>
        <v>0</v>
      </c>
      <c r="F131" s="60"/>
    </row>
    <row r="132" spans="1:16" x14ac:dyDescent="0.3">
      <c r="A132" s="6" t="s">
        <v>174</v>
      </c>
      <c r="B132" s="26">
        <f>PASSIVA!K23</f>
        <v>0</v>
      </c>
      <c r="C132" s="26">
        <f>PASSIVA!L23</f>
        <v>0</v>
      </c>
      <c r="F132" s="60" t="s">
        <v>190</v>
      </c>
      <c r="G132" s="1">
        <f>SUM(G128:G129)</f>
        <v>80000</v>
      </c>
      <c r="H132" s="1">
        <f>SUM(H128:H129)</f>
        <v>123000</v>
      </c>
      <c r="I132" s="1">
        <f>H132-G132</f>
        <v>43000</v>
      </c>
      <c r="M132" s="1">
        <f>SUM(M128:M129)</f>
        <v>80000</v>
      </c>
      <c r="N132" s="1">
        <f>SUM(N128:N129)</f>
        <v>54000</v>
      </c>
      <c r="O132" s="2">
        <f>N132-M132</f>
        <v>-26000</v>
      </c>
    </row>
    <row r="133" spans="1:16" x14ac:dyDescent="0.3">
      <c r="A133" s="6" t="s">
        <v>300</v>
      </c>
      <c r="B133" s="26"/>
      <c r="C133" s="26">
        <f>-PASSIVA!F26</f>
        <v>0</v>
      </c>
      <c r="F133" s="60"/>
    </row>
    <row r="134" spans="1:16" x14ac:dyDescent="0.3">
      <c r="A134" s="6" t="s">
        <v>175</v>
      </c>
      <c r="B134" s="26">
        <f>PASSIVA!K28+PASSIVA!K37</f>
        <v>-22349.281427873357</v>
      </c>
      <c r="C134" s="26">
        <f>PASSIVA!L28+PASSIVA!L37</f>
        <v>-23492.713082016329</v>
      </c>
      <c r="F134" s="2">
        <f t="shared" ref="F134:O134" si="40">C134+C135</f>
        <v>-34270.498255678031</v>
      </c>
      <c r="G134" s="2">
        <f t="shared" si="40"/>
        <v>0</v>
      </c>
      <c r="H134" s="2">
        <f t="shared" si="40"/>
        <v>0</v>
      </c>
      <c r="I134" s="2">
        <f t="shared" si="40"/>
        <v>-34270.498255678031</v>
      </c>
      <c r="J134" s="2">
        <f t="shared" si="40"/>
        <v>0</v>
      </c>
      <c r="K134" s="2">
        <f t="shared" si="40"/>
        <v>0</v>
      </c>
      <c r="L134" s="2">
        <f t="shared" si="40"/>
        <v>-34270.498255678031</v>
      </c>
      <c r="M134" s="2">
        <f t="shared" si="40"/>
        <v>0</v>
      </c>
      <c r="N134" s="2">
        <f t="shared" si="40"/>
        <v>0</v>
      </c>
      <c r="O134" s="2">
        <f t="shared" si="40"/>
        <v>-34270.498255678031</v>
      </c>
      <c r="P134" s="2"/>
    </row>
    <row r="135" spans="1:16" x14ac:dyDescent="0.3">
      <c r="A135" s="6" t="s">
        <v>286</v>
      </c>
      <c r="B135" s="318">
        <f>-B103</f>
        <v>-11925.827439313314</v>
      </c>
      <c r="C135" s="318">
        <f>-C103</f>
        <v>-10777.785173661705</v>
      </c>
      <c r="F135" s="60"/>
    </row>
    <row r="136" spans="1:16" s="53" customFormat="1" ht="15.75" customHeight="1" x14ac:dyDescent="0.3">
      <c r="A136" s="163" t="s">
        <v>176</v>
      </c>
      <c r="B136" s="164">
        <f>SUM(B129:B135)</f>
        <v>-34275.108867186675</v>
      </c>
      <c r="C136" s="164">
        <f>SUM(C129:C135)</f>
        <v>-34270.498255678031</v>
      </c>
      <c r="D136" s="58"/>
      <c r="E136" s="2"/>
      <c r="F136" s="60" t="s">
        <v>191</v>
      </c>
      <c r="G136" s="1" t="s">
        <v>171</v>
      </c>
      <c r="H136" s="1"/>
      <c r="I136" s="1">
        <v>-43000</v>
      </c>
      <c r="J136" s="1"/>
      <c r="K136" s="1"/>
      <c r="L136" s="1"/>
      <c r="M136" s="1">
        <f>O132*-1</f>
        <v>26000</v>
      </c>
      <c r="N136" s="1"/>
      <c r="O136" s="58"/>
    </row>
    <row r="137" spans="1:16" x14ac:dyDescent="0.3">
      <c r="B137" s="26"/>
      <c r="C137" s="26"/>
      <c r="F137" s="60"/>
      <c r="G137" s="1" t="s">
        <v>192</v>
      </c>
      <c r="I137" s="1">
        <v>-27000</v>
      </c>
      <c r="M137" s="1">
        <f>(18000-2000)*-1</f>
        <v>-16000</v>
      </c>
    </row>
    <row r="138" spans="1:16" ht="15.75" customHeight="1" x14ac:dyDescent="0.3">
      <c r="A138" s="215" t="s">
        <v>177</v>
      </c>
      <c r="B138" s="215">
        <f>B126+B136</f>
        <v>62500.28377526137</v>
      </c>
      <c r="C138" s="215">
        <f>C126+C136</f>
        <v>73111.31354956796</v>
      </c>
      <c r="F138" s="60"/>
      <c r="I138" s="61">
        <f>I136+I137</f>
        <v>-70000</v>
      </c>
      <c r="M138" s="61">
        <f>M136+M137</f>
        <v>10000</v>
      </c>
    </row>
    <row r="139" spans="1:16" ht="15.75" customHeight="1" x14ac:dyDescent="0.3">
      <c r="A139" s="167" t="s">
        <v>456</v>
      </c>
      <c r="B139" s="167">
        <f>C93</f>
        <v>62500.28377526137</v>
      </c>
      <c r="C139" s="167">
        <f>D93</f>
        <v>73111.313549567945</v>
      </c>
      <c r="F139" s="60"/>
      <c r="I139" s="55"/>
      <c r="M139" s="55"/>
    </row>
    <row r="140" spans="1:16" ht="15.75" customHeight="1" x14ac:dyDescent="0.3">
      <c r="A140" s="177"/>
      <c r="B140" s="177"/>
      <c r="C140" s="177"/>
      <c r="F140" s="60"/>
      <c r="I140" s="55"/>
      <c r="M140" s="55"/>
    </row>
    <row r="141" spans="1:16" ht="15.75" customHeight="1" x14ac:dyDescent="0.3">
      <c r="A141" s="177"/>
      <c r="B141" s="177"/>
      <c r="C141" s="177"/>
      <c r="F141" s="60"/>
      <c r="I141" s="55"/>
      <c r="M141" s="55"/>
    </row>
    <row r="142" spans="1:16" ht="15.6" x14ac:dyDescent="0.3">
      <c r="A142" s="104" t="s">
        <v>262</v>
      </c>
      <c r="B142" s="49"/>
      <c r="C142" s="49"/>
    </row>
    <row r="143" spans="1:16" ht="15" customHeight="1" x14ac:dyDescent="0.3"/>
    <row r="144" spans="1:16" ht="15" customHeight="1" x14ac:dyDescent="0.3">
      <c r="A144" s="21"/>
      <c r="B144" s="105" t="str">
        <f>PASSIVA!B4</f>
        <v>Jaar 1</v>
      </c>
      <c r="C144" s="105" t="str">
        <f>PASSIVA!D4</f>
        <v>Jaar 2</v>
      </c>
      <c r="D144" s="105" t="str">
        <f>PASSIVA!F4</f>
        <v>Jaar 3</v>
      </c>
    </row>
    <row r="145" spans="1:15" ht="15" customHeight="1" x14ac:dyDescent="0.3">
      <c r="A145" s="6" t="s">
        <v>152</v>
      </c>
      <c r="B145" s="38">
        <f>PASSIVA!B6</f>
        <v>136949.77394183481</v>
      </c>
      <c r="C145" s="38">
        <f>PASSIVA!D6</f>
        <v>180601.35488234981</v>
      </c>
      <c r="D145" s="38">
        <f>PASSIVA!F6</f>
        <v>232233.16035250353</v>
      </c>
    </row>
    <row r="146" spans="1:15" ht="15" customHeight="1" x14ac:dyDescent="0.3">
      <c r="A146" s="6" t="s">
        <v>327</v>
      </c>
      <c r="B146" s="41">
        <f>PASSIVA!B28+PASSIVA!B23</f>
        <v>228120.77007192845</v>
      </c>
      <c r="C146" s="41">
        <f>PASSIVA!D28+PASSIVA!D23</f>
        <v>204628.05698991212</v>
      </c>
      <c r="D146" s="41">
        <f>PASSIVA!F28+PASSIVA!F23</f>
        <v>179933.41212022881</v>
      </c>
    </row>
    <row r="147" spans="1:15" ht="15" customHeight="1" x14ac:dyDescent="0.3">
      <c r="A147" s="6" t="s">
        <v>153</v>
      </c>
      <c r="B147" s="54">
        <f>SUM(B145:B146)</f>
        <v>365070.54401376325</v>
      </c>
      <c r="C147" s="54">
        <f t="shared" ref="C147:D147" si="41">SUM(C145:C146)</f>
        <v>385229.4118722619</v>
      </c>
      <c r="D147" s="54">
        <f t="shared" si="41"/>
        <v>412166.57247273234</v>
      </c>
    </row>
    <row r="148" spans="1:15" ht="8.25" customHeight="1" x14ac:dyDescent="0.3">
      <c r="B148" s="68"/>
      <c r="C148" s="68"/>
      <c r="D148" s="68"/>
    </row>
    <row r="149" spans="1:15" ht="15" customHeight="1" x14ac:dyDescent="0.3">
      <c r="A149" s="6" t="s">
        <v>154</v>
      </c>
      <c r="B149" s="54">
        <f>ACTIVA!B8</f>
        <v>304000</v>
      </c>
      <c r="C149" s="54">
        <f>ACTIVA!D8</f>
        <v>262000</v>
      </c>
      <c r="D149" s="54">
        <f>ACTIVA!F8</f>
        <v>220000</v>
      </c>
    </row>
    <row r="150" spans="1:15" ht="15" customHeight="1" x14ac:dyDescent="0.3">
      <c r="A150" s="225" t="s">
        <v>155</v>
      </c>
      <c r="B150" s="226">
        <f>B147-B149</f>
        <v>61070.544013763254</v>
      </c>
      <c r="C150" s="226">
        <f>C147-C149</f>
        <v>123229.4118722619</v>
      </c>
      <c r="D150" s="226">
        <f>D147-D149</f>
        <v>192166.57247273234</v>
      </c>
    </row>
    <row r="151" spans="1:15" s="1" customFormat="1" ht="15" customHeight="1" x14ac:dyDescent="0.2">
      <c r="A151" s="1" t="s">
        <v>139</v>
      </c>
      <c r="B151" s="178">
        <f>(B147/B149)</f>
        <v>1.2008899474136949</v>
      </c>
      <c r="C151" s="178">
        <f>(C147/C149)</f>
        <v>1.4703412666880225</v>
      </c>
      <c r="D151" s="178">
        <f>(D147/D149)</f>
        <v>1.8734844203306016</v>
      </c>
    </row>
    <row r="152" spans="1:15" ht="15" customHeight="1" x14ac:dyDescent="0.3">
      <c r="B152" s="6"/>
      <c r="C152" s="6"/>
      <c r="D152" s="6"/>
    </row>
    <row r="153" spans="1:15" ht="15" customHeight="1" x14ac:dyDescent="0.3">
      <c r="A153" s="6" t="s">
        <v>324</v>
      </c>
      <c r="B153" s="38">
        <f>ACTIVA!B26</f>
        <v>169829.70997399464</v>
      </c>
      <c r="C153" s="38">
        <f>ACTIVA!D26</f>
        <v>235429.99374925601</v>
      </c>
      <c r="D153" s="38">
        <f>ACTIVA!F26</f>
        <v>311796.30729882396</v>
      </c>
    </row>
    <row r="154" spans="1:15" ht="15" customHeight="1" x14ac:dyDescent="0.3">
      <c r="A154" s="6" t="s">
        <v>156</v>
      </c>
      <c r="B154" s="41">
        <f>PASSIVA!B35</f>
        <v>108759.16596023149</v>
      </c>
      <c r="C154" s="41">
        <f>PASSIVA!D35</f>
        <v>112200.58187699417</v>
      </c>
      <c r="D154" s="41">
        <f>PASSIVA!F35</f>
        <v>119629.73482609174</v>
      </c>
    </row>
    <row r="155" spans="1:15" ht="15" customHeight="1" x14ac:dyDescent="0.3">
      <c r="A155" s="225" t="s">
        <v>155</v>
      </c>
      <c r="B155" s="226">
        <f>B153-B154</f>
        <v>61070.544013763152</v>
      </c>
      <c r="C155" s="226">
        <f>C153-C154</f>
        <v>123229.41187226184</v>
      </c>
      <c r="D155" s="226">
        <f>D153-D154</f>
        <v>192166.57247273222</v>
      </c>
    </row>
    <row r="156" spans="1:15" ht="15" customHeight="1" x14ac:dyDescent="0.3">
      <c r="A156" s="225" t="s">
        <v>372</v>
      </c>
      <c r="B156" s="227">
        <f>B153/B154</f>
        <v>1.5615208932007993</v>
      </c>
      <c r="C156" s="227">
        <f>C153/C154</f>
        <v>2.0982956577476455</v>
      </c>
      <c r="D156" s="227">
        <f>D153/D154</f>
        <v>2.606344549305311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ht="15" customHeight="1" x14ac:dyDescent="0.3">
      <c r="B157" s="160"/>
      <c r="C157" s="160"/>
      <c r="D157" s="160"/>
    </row>
    <row r="158" spans="1:15" ht="15" customHeight="1" x14ac:dyDescent="0.3">
      <c r="A158" s="6" t="s">
        <v>325</v>
      </c>
      <c r="B158" s="38">
        <f>ACTIVA!B30+ACTIVA!B34+ACTIVA!B42</f>
        <v>62000</v>
      </c>
      <c r="C158" s="38">
        <f>ACTIVA!D30+ACTIVA!D34+ACTIVA!D42</f>
        <v>65100</v>
      </c>
      <c r="D158" s="38">
        <f>ACTIVA!F30+ACTIVA!F34+ACTIVA!F42</f>
        <v>68355</v>
      </c>
    </row>
    <row r="159" spans="1:15" ht="15" customHeight="1" x14ac:dyDescent="0.3">
      <c r="A159" s="6" t="s">
        <v>326</v>
      </c>
      <c r="B159" s="26">
        <f>PASSIVA!B45+PASSIVA!B48+PASSIVA!B53+PASSIVA!B56</f>
        <v>86409.884532358119</v>
      </c>
      <c r="C159" s="26">
        <f>PASSIVA!D45+PASSIVA!D48+PASSIVA!D53+PASSIVA!D56</f>
        <v>88707.86879497784</v>
      </c>
      <c r="D159" s="26">
        <f>PASSIVA!F45+PASSIVA!F48+PASSIVA!F53+PASSIVA!F56</f>
        <v>94935.08995640841</v>
      </c>
    </row>
    <row r="160" spans="1:15" ht="15" customHeight="1" x14ac:dyDescent="0.3">
      <c r="A160" s="225" t="s">
        <v>424</v>
      </c>
      <c r="B160" s="226">
        <f>B158-B159</f>
        <v>-24409.884532358119</v>
      </c>
      <c r="C160" s="226">
        <f>C158-C159</f>
        <v>-23607.86879497784</v>
      </c>
      <c r="D160" s="226">
        <f>D158-D159</f>
        <v>-26580.08995640841</v>
      </c>
      <c r="E160" s="6"/>
    </row>
    <row r="161" spans="1:15" ht="15" customHeight="1" x14ac:dyDescent="0.3">
      <c r="A161" s="225" t="s">
        <v>170</v>
      </c>
      <c r="B161" s="226">
        <f>-B160</f>
        <v>24409.884532358119</v>
      </c>
      <c r="C161" s="226">
        <f>(C160+B161)*-1</f>
        <v>-802.01573738027946</v>
      </c>
      <c r="D161" s="226">
        <f>(-D160+C160)</f>
        <v>2972.2211614305706</v>
      </c>
      <c r="E161" s="6"/>
    </row>
    <row r="162" spans="1:15" ht="15" customHeight="1" x14ac:dyDescent="0.3">
      <c r="A162" s="1" t="s">
        <v>332</v>
      </c>
      <c r="B162" s="229" t="s">
        <v>434</v>
      </c>
      <c r="C162" s="160"/>
      <c r="D162" s="160"/>
    </row>
    <row r="163" spans="1:15" ht="15" customHeight="1" x14ac:dyDescent="0.3">
      <c r="B163" s="160"/>
      <c r="C163" s="160"/>
      <c r="D163" s="160"/>
    </row>
    <row r="164" spans="1:15" ht="15" customHeight="1" x14ac:dyDescent="0.3">
      <c r="A164" s="6" t="s">
        <v>155</v>
      </c>
      <c r="B164" s="38">
        <f>B150</f>
        <v>61070.544013763254</v>
      </c>
      <c r="C164" s="38">
        <f>C150</f>
        <v>123229.4118722619</v>
      </c>
      <c r="D164" s="38">
        <f>D150</f>
        <v>192166.57247273234</v>
      </c>
    </row>
    <row r="165" spans="1:15" ht="15" customHeight="1" x14ac:dyDescent="0.3">
      <c r="A165" s="6" t="s">
        <v>331</v>
      </c>
      <c r="B165" s="41">
        <f>B160</f>
        <v>-24409.884532358119</v>
      </c>
      <c r="C165" s="41">
        <f>C160</f>
        <v>-23607.86879497784</v>
      </c>
      <c r="D165" s="41">
        <f>D160</f>
        <v>-26580.08995640841</v>
      </c>
    </row>
    <row r="166" spans="1:15" ht="15" customHeight="1" x14ac:dyDescent="0.3">
      <c r="A166" s="225" t="s">
        <v>328</v>
      </c>
      <c r="B166" s="226">
        <f>B164-B165</f>
        <v>85480.428546121373</v>
      </c>
      <c r="C166" s="226">
        <f t="shared" ref="C166:D166" si="42">C164-C165</f>
        <v>146837.28066723974</v>
      </c>
      <c r="D166" s="226">
        <f t="shared" si="42"/>
        <v>218746.66242914076</v>
      </c>
    </row>
    <row r="167" spans="1:15" ht="15" customHeight="1" x14ac:dyDescent="0.3"/>
    <row r="168" spans="1:15" ht="15.75" customHeight="1" x14ac:dyDescent="0.3">
      <c r="A168" s="6" t="s">
        <v>329</v>
      </c>
      <c r="B168" s="38">
        <f>ACTIVA!B39</f>
        <v>107829.70997399464</v>
      </c>
      <c r="C168" s="38">
        <f>ACTIVA!D39</f>
        <v>170329.99374925601</v>
      </c>
      <c r="D168" s="38">
        <f>ACTIVA!F39</f>
        <v>243441.30729882396</v>
      </c>
      <c r="F168" s="60"/>
      <c r="I168" s="55"/>
      <c r="M168" s="55"/>
    </row>
    <row r="169" spans="1:15" ht="15.75" customHeight="1" x14ac:dyDescent="0.3">
      <c r="A169" s="6" t="s">
        <v>330</v>
      </c>
      <c r="B169" s="41">
        <f>PASSIVA!B37+PASSIVA!B41</f>
        <v>22349.281427873371</v>
      </c>
      <c r="C169" s="41">
        <f>PASSIVA!D37+PASSIVA!D41</f>
        <v>23492.713082016344</v>
      </c>
      <c r="D169" s="41">
        <f>PASSIVA!F37+PASSIVA!F41</f>
        <v>24694.644869683325</v>
      </c>
      <c r="F169" s="60"/>
      <c r="I169" s="55"/>
      <c r="M169" s="55"/>
    </row>
    <row r="170" spans="1:15" ht="15.75" customHeight="1" x14ac:dyDescent="0.3">
      <c r="A170" s="225" t="s">
        <v>328</v>
      </c>
      <c r="B170" s="226">
        <f>B168-B169</f>
        <v>85480.428546121271</v>
      </c>
      <c r="C170" s="226">
        <f t="shared" ref="C170:D170" si="43">C168-C169</f>
        <v>146837.28066723968</v>
      </c>
      <c r="D170" s="226">
        <f t="shared" si="43"/>
        <v>218746.66242914065</v>
      </c>
      <c r="F170" s="60"/>
      <c r="I170" s="55"/>
      <c r="M170" s="55"/>
    </row>
    <row r="171" spans="1:15" ht="15.75" customHeight="1" x14ac:dyDescent="0.3">
      <c r="A171" s="104" t="str">
        <f>A1</f>
        <v>VDO</v>
      </c>
      <c r="F171" s="60"/>
      <c r="I171" s="55"/>
      <c r="M171" s="55"/>
    </row>
    <row r="172" spans="1:15" ht="15.75" customHeight="1" x14ac:dyDescent="0.3">
      <c r="A172" s="104"/>
      <c r="F172" s="60"/>
      <c r="I172" s="55"/>
      <c r="M172" s="55"/>
    </row>
    <row r="173" spans="1:15" ht="15.75" customHeight="1" x14ac:dyDescent="0.3">
      <c r="A173" s="104" t="s">
        <v>425</v>
      </c>
      <c r="F173" s="60"/>
      <c r="I173" s="55"/>
      <c r="M173" s="55"/>
    </row>
    <row r="174" spans="1:15" ht="15.75" customHeight="1" x14ac:dyDescent="0.3">
      <c r="A174" s="104"/>
      <c r="F174" s="60"/>
      <c r="I174" s="55"/>
      <c r="M174" s="55"/>
    </row>
    <row r="175" spans="1:15" ht="15.75" customHeight="1" x14ac:dyDescent="0.3">
      <c r="A175" s="104"/>
      <c r="B175" s="29" t="s">
        <v>301</v>
      </c>
      <c r="C175" s="29" t="s">
        <v>302</v>
      </c>
      <c r="D175" s="29" t="s">
        <v>303</v>
      </c>
      <c r="F175" s="60"/>
      <c r="I175" s="55"/>
      <c r="M175" s="55"/>
    </row>
    <row r="176" spans="1:15" ht="15.75" customHeight="1" x14ac:dyDescent="0.3">
      <c r="B176" s="6"/>
      <c r="C176" s="6"/>
      <c r="D176" s="6"/>
      <c r="E176" s="6"/>
      <c r="F176" s="228"/>
      <c r="G176" s="6"/>
      <c r="H176" s="6"/>
      <c r="I176" s="6"/>
      <c r="J176" s="6"/>
      <c r="K176" s="6"/>
      <c r="L176" s="6"/>
      <c r="M176" s="6"/>
      <c r="N176" s="6"/>
      <c r="O176" s="6"/>
    </row>
    <row r="177" spans="1:15" ht="15.75" customHeight="1" x14ac:dyDescent="0.3">
      <c r="A177" s="6" t="s">
        <v>426</v>
      </c>
      <c r="B177" s="8">
        <f>ACTIVA!B8</f>
        <v>304000</v>
      </c>
      <c r="C177" s="8">
        <f>ACTIVA!D8</f>
        <v>262000</v>
      </c>
      <c r="D177" s="8">
        <f>ACTIVA!F8</f>
        <v>220000</v>
      </c>
      <c r="E177" s="6"/>
      <c r="F177" s="228"/>
      <c r="G177" s="6"/>
      <c r="H177" s="6"/>
      <c r="I177" s="6"/>
      <c r="J177" s="6"/>
      <c r="K177" s="6"/>
      <c r="L177" s="6"/>
      <c r="M177" s="6"/>
      <c r="N177" s="6"/>
      <c r="O177" s="6"/>
    </row>
    <row r="178" spans="1:15" ht="15.75" customHeight="1" x14ac:dyDescent="0.3">
      <c r="A178" s="6" t="s">
        <v>427</v>
      </c>
      <c r="B178" s="230">
        <f>B160</f>
        <v>-24409.884532358119</v>
      </c>
      <c r="C178" s="9"/>
      <c r="D178" s="9"/>
      <c r="E178" s="6"/>
      <c r="F178" s="228"/>
      <c r="G178" s="6"/>
      <c r="H178" s="6"/>
      <c r="I178" s="6"/>
      <c r="J178" s="6"/>
      <c r="K178" s="6"/>
      <c r="L178" s="6"/>
      <c r="M178" s="6"/>
      <c r="N178" s="6"/>
      <c r="O178" s="6"/>
    </row>
    <row r="179" spans="1:15" ht="15.75" customHeight="1" x14ac:dyDescent="0.3">
      <c r="A179" s="6" t="s">
        <v>428</v>
      </c>
      <c r="B179" s="9">
        <f>ACTIVA!B39</f>
        <v>107829.70997399464</v>
      </c>
      <c r="C179" s="9">
        <f>ACTIVA!D39</f>
        <v>170329.99374925601</v>
      </c>
      <c r="D179" s="9">
        <f>ACTIVA!F39</f>
        <v>243441.30729882396</v>
      </c>
      <c r="E179" s="6"/>
      <c r="F179" s="228"/>
      <c r="G179" s="6"/>
      <c r="H179" s="6"/>
      <c r="I179" s="6"/>
      <c r="J179" s="6"/>
      <c r="K179" s="6"/>
      <c r="L179" s="6"/>
      <c r="M179" s="6"/>
      <c r="N179" s="6"/>
      <c r="O179" s="6"/>
    </row>
    <row r="180" spans="1:15" ht="15.75" customHeight="1" x14ac:dyDescent="0.3">
      <c r="A180" s="22" t="s">
        <v>429</v>
      </c>
      <c r="B180" s="31">
        <f>SUM(B177:B179)</f>
        <v>387419.82544163649</v>
      </c>
      <c r="C180" s="31">
        <f t="shared" ref="C180:D180" si="44">SUM(C177:C179)</f>
        <v>432329.99374925601</v>
      </c>
      <c r="D180" s="31">
        <f t="shared" si="44"/>
        <v>463441.30729882396</v>
      </c>
      <c r="E180" s="6"/>
      <c r="F180" s="228"/>
      <c r="G180" s="6"/>
      <c r="H180" s="6"/>
      <c r="I180" s="6"/>
      <c r="J180" s="6"/>
      <c r="K180" s="6"/>
      <c r="L180" s="6"/>
      <c r="M180" s="6"/>
      <c r="N180" s="6"/>
      <c r="O180" s="6"/>
    </row>
    <row r="181" spans="1:15" ht="15.75" customHeight="1" x14ac:dyDescent="0.3">
      <c r="B181" s="9"/>
      <c r="C181" s="9"/>
      <c r="D181" s="9"/>
      <c r="E181" s="6"/>
      <c r="F181" s="228"/>
      <c r="G181" s="6"/>
      <c r="H181" s="6"/>
      <c r="I181" s="6"/>
      <c r="J181" s="6"/>
      <c r="K181" s="6"/>
      <c r="L181" s="6"/>
      <c r="M181" s="6"/>
      <c r="N181" s="6"/>
      <c r="O181" s="6"/>
    </row>
    <row r="182" spans="1:15" ht="15.75" customHeight="1" x14ac:dyDescent="0.3">
      <c r="A182" s="6" t="s">
        <v>173</v>
      </c>
      <c r="B182" s="9">
        <f>PASSIVA!B6+PASSIVA!B31</f>
        <v>136949.77394183481</v>
      </c>
      <c r="C182" s="9">
        <f>PASSIVA!D6</f>
        <v>180601.35488234981</v>
      </c>
      <c r="D182" s="9">
        <f>PASSIVA!F6+PASSIVA!F26</f>
        <v>232233.16035250353</v>
      </c>
      <c r="E182" s="6"/>
      <c r="F182" s="228"/>
      <c r="G182" s="6"/>
      <c r="H182" s="6"/>
      <c r="I182" s="6"/>
      <c r="J182" s="6"/>
      <c r="K182" s="6"/>
      <c r="L182" s="6"/>
      <c r="M182" s="6"/>
      <c r="N182" s="6"/>
      <c r="O182" s="6"/>
    </row>
    <row r="183" spans="1:15" ht="15.75" customHeight="1" x14ac:dyDescent="0.3">
      <c r="A183" s="6" t="s">
        <v>430</v>
      </c>
      <c r="B183" s="9">
        <f>PASSIVA!B32</f>
        <v>228120.77007192845</v>
      </c>
      <c r="C183" s="9">
        <f>PASSIVA!D32</f>
        <v>204628.05698991212</v>
      </c>
      <c r="D183" s="9">
        <f>PASSIVA!F32</f>
        <v>179933.41212022881</v>
      </c>
      <c r="E183" s="6"/>
      <c r="F183" s="228"/>
      <c r="G183" s="6"/>
      <c r="H183" s="6"/>
      <c r="I183" s="6"/>
      <c r="J183" s="6"/>
      <c r="K183" s="6"/>
      <c r="L183" s="6"/>
      <c r="M183" s="6"/>
      <c r="N183" s="6"/>
      <c r="O183" s="6"/>
    </row>
    <row r="184" spans="1:15" ht="15.75" customHeight="1" x14ac:dyDescent="0.3">
      <c r="A184" s="6" t="s">
        <v>431</v>
      </c>
      <c r="B184" s="9">
        <f>PASSIVA!B37</f>
        <v>22349.281427873371</v>
      </c>
      <c r="C184" s="9">
        <f>PASSIVA!D37</f>
        <v>23492.713082016344</v>
      </c>
      <c r="D184" s="9">
        <f>PASSIVA!F37</f>
        <v>24694.644869683325</v>
      </c>
      <c r="E184" s="6"/>
      <c r="F184" s="228"/>
      <c r="G184" s="6"/>
      <c r="H184" s="6"/>
      <c r="I184" s="6"/>
      <c r="J184" s="6"/>
      <c r="K184" s="6"/>
      <c r="L184" s="6"/>
      <c r="M184" s="6"/>
      <c r="N184" s="6"/>
      <c r="O184" s="6"/>
    </row>
    <row r="185" spans="1:15" ht="15.75" customHeight="1" x14ac:dyDescent="0.3">
      <c r="A185" s="6" t="s">
        <v>432</v>
      </c>
      <c r="B185" s="9"/>
      <c r="C185" s="230">
        <f>-C160</f>
        <v>23607.86879497784</v>
      </c>
      <c r="D185" s="230">
        <f>-D160</f>
        <v>26580.08995640841</v>
      </c>
      <c r="E185" s="6"/>
      <c r="F185" s="228"/>
      <c r="G185" s="6"/>
      <c r="H185" s="6"/>
      <c r="I185" s="6"/>
      <c r="J185" s="6"/>
      <c r="K185" s="6"/>
      <c r="L185" s="6"/>
      <c r="M185" s="6"/>
      <c r="N185" s="6"/>
      <c r="O185" s="6"/>
    </row>
    <row r="186" spans="1:15" ht="15.75" customHeight="1" x14ac:dyDescent="0.3">
      <c r="A186" s="22" t="s">
        <v>433</v>
      </c>
      <c r="B186" s="31">
        <f>SUM(B182:B185)</f>
        <v>387419.82544163661</v>
      </c>
      <c r="C186" s="31">
        <f t="shared" ref="C186:D186" si="45">SUM(C182:C185)</f>
        <v>432329.99374925607</v>
      </c>
      <c r="D186" s="31">
        <f t="shared" si="45"/>
        <v>463441.30729882407</v>
      </c>
      <c r="E186" s="6"/>
      <c r="F186" s="228"/>
      <c r="G186" s="6"/>
      <c r="H186" s="6"/>
      <c r="I186" s="6"/>
      <c r="J186" s="6"/>
      <c r="K186" s="6"/>
      <c r="L186" s="6"/>
      <c r="M186" s="6"/>
      <c r="N186" s="6"/>
      <c r="O186" s="6"/>
    </row>
    <row r="187" spans="1:15" ht="15.75" customHeight="1" x14ac:dyDescent="0.3">
      <c r="B187" s="6"/>
      <c r="C187" s="6"/>
      <c r="D187" s="6"/>
      <c r="E187" s="6"/>
      <c r="F187" s="228"/>
      <c r="G187" s="6"/>
      <c r="H187" s="6"/>
      <c r="I187" s="6"/>
      <c r="J187" s="6"/>
      <c r="K187" s="6"/>
      <c r="L187" s="6"/>
      <c r="M187" s="6"/>
      <c r="N187" s="6"/>
      <c r="O187" s="6"/>
    </row>
    <row r="188" spans="1:15" ht="15.75" customHeight="1" x14ac:dyDescent="0.3">
      <c r="B188" s="6"/>
      <c r="C188" s="6"/>
      <c r="D188" s="6"/>
      <c r="E188" s="6"/>
      <c r="F188" s="228"/>
      <c r="G188" s="6"/>
      <c r="H188" s="6"/>
      <c r="I188" s="6"/>
      <c r="J188" s="6"/>
      <c r="K188" s="6"/>
      <c r="L188" s="6"/>
      <c r="M188" s="6"/>
      <c r="N188" s="6"/>
      <c r="O188" s="6"/>
    </row>
    <row r="189" spans="1:15" ht="15.75" customHeight="1" x14ac:dyDescent="0.3">
      <c r="B189" s="6"/>
      <c r="C189" s="6"/>
      <c r="D189" s="6"/>
      <c r="E189" s="6"/>
      <c r="F189" s="228"/>
      <c r="G189" s="6"/>
      <c r="H189" s="6"/>
      <c r="I189" s="6"/>
      <c r="J189" s="6"/>
      <c r="K189" s="6"/>
      <c r="L189" s="6"/>
      <c r="M189" s="6"/>
      <c r="N189" s="6"/>
      <c r="O189" s="6"/>
    </row>
    <row r="190" spans="1:15" ht="15.75" customHeight="1" x14ac:dyDescent="0.3">
      <c r="A190" s="104" t="s">
        <v>310</v>
      </c>
      <c r="F190" s="60"/>
      <c r="I190" s="55"/>
      <c r="M190" s="55"/>
    </row>
    <row r="191" spans="1:15" ht="15.75" customHeight="1" x14ac:dyDescent="0.3">
      <c r="F191" s="60"/>
      <c r="I191" s="55"/>
      <c r="M191" s="55"/>
    </row>
    <row r="192" spans="1:15" ht="15.75" customHeight="1" x14ac:dyDescent="0.3">
      <c r="A192" s="7"/>
      <c r="B192" s="29" t="str">
        <f>C144</f>
        <v>Jaar 2</v>
      </c>
      <c r="C192" s="45" t="str">
        <f>D144</f>
        <v>Jaar 3</v>
      </c>
      <c r="F192" s="60"/>
      <c r="I192" s="55"/>
      <c r="M192" s="55"/>
    </row>
    <row r="193" spans="1:13" ht="15.75" customHeight="1" x14ac:dyDescent="0.3">
      <c r="A193" s="179" t="s">
        <v>311</v>
      </c>
      <c r="B193" s="33"/>
      <c r="C193" s="33"/>
      <c r="F193" s="60"/>
      <c r="I193" s="55"/>
      <c r="M193" s="55"/>
    </row>
    <row r="194" spans="1:13" ht="15.75" customHeight="1" x14ac:dyDescent="0.3">
      <c r="A194" s="9" t="s">
        <v>147</v>
      </c>
      <c r="B194" s="26"/>
      <c r="C194" s="33"/>
      <c r="F194" s="60"/>
      <c r="I194" s="55"/>
      <c r="M194" s="55"/>
    </row>
    <row r="195" spans="1:13" ht="15.75" customHeight="1" x14ac:dyDescent="0.3">
      <c r="A195" s="9" t="s">
        <v>242</v>
      </c>
      <c r="B195" s="26"/>
      <c r="C195" s="33"/>
      <c r="F195" s="60"/>
      <c r="I195" s="55"/>
      <c r="M195" s="55"/>
    </row>
    <row r="196" spans="1:13" ht="15.75" customHeight="1" x14ac:dyDescent="0.3">
      <c r="A196" s="9" t="s">
        <v>312</v>
      </c>
      <c r="B196" s="26"/>
      <c r="C196" s="33"/>
      <c r="F196" s="60"/>
      <c r="I196" s="55"/>
      <c r="M196" s="55"/>
    </row>
    <row r="197" spans="1:13" ht="15.75" customHeight="1" x14ac:dyDescent="0.3">
      <c r="A197" s="9" t="s">
        <v>313</v>
      </c>
      <c r="B197" s="26">
        <f>'PASSIVA analyse'!K46</f>
        <v>3487.5</v>
      </c>
      <c r="C197" s="33">
        <f>'PASSIVA analyse'!L46</f>
        <v>3661.875</v>
      </c>
      <c r="F197" s="60"/>
      <c r="I197" s="55"/>
      <c r="M197" s="55"/>
    </row>
    <row r="198" spans="1:13" ht="15.75" customHeight="1" x14ac:dyDescent="0.3">
      <c r="A198" s="9" t="s">
        <v>320</v>
      </c>
      <c r="B198" s="26">
        <f>'PASSIVA analyse'!K49+'PASSIVA analyse'!K54+'PASSIVA analyse'!K57</f>
        <v>-1189.5157373802799</v>
      </c>
      <c r="C198" s="26">
        <f>'PASSIVA analyse'!L49+'PASSIVA analyse'!L54+'PASSIVA analyse'!L57</f>
        <v>2565.3461614305761</v>
      </c>
      <c r="F198" s="60"/>
      <c r="I198" s="55"/>
      <c r="M198" s="55"/>
    </row>
    <row r="199" spans="1:13" ht="15.75" customHeight="1" x14ac:dyDescent="0.3">
      <c r="A199" s="9" t="s">
        <v>322</v>
      </c>
      <c r="B199" s="26">
        <f>B111</f>
        <v>97577.408379828325</v>
      </c>
      <c r="C199" s="26">
        <f>C111</f>
        <v>104409.59064381542</v>
      </c>
      <c r="F199" s="60"/>
      <c r="I199" s="55"/>
      <c r="M199" s="55"/>
    </row>
    <row r="200" spans="1:13" ht="15.75" customHeight="1" x14ac:dyDescent="0.3">
      <c r="A200" s="94" t="s">
        <v>66</v>
      </c>
      <c r="B200" s="54">
        <f>SUM(B194:B199)</f>
        <v>99875.392642448045</v>
      </c>
      <c r="C200" s="222">
        <f>SUM(C194:C199)</f>
        <v>110636.81180524599</v>
      </c>
      <c r="F200" s="60"/>
    </row>
    <row r="201" spans="1:13" ht="9.75" customHeight="1" x14ac:dyDescent="0.3">
      <c r="A201" s="9"/>
      <c r="B201" s="26"/>
      <c r="C201" s="33"/>
      <c r="F201" s="60"/>
      <c r="I201" s="55"/>
      <c r="M201" s="55"/>
    </row>
    <row r="202" spans="1:13" ht="15.75" customHeight="1" x14ac:dyDescent="0.3">
      <c r="A202" s="138" t="s">
        <v>314</v>
      </c>
      <c r="B202" s="33"/>
      <c r="C202" s="33"/>
      <c r="F202" s="60"/>
      <c r="I202" s="55"/>
      <c r="M202" s="55"/>
    </row>
    <row r="203" spans="1:13" ht="15.75" customHeight="1" x14ac:dyDescent="0.3">
      <c r="A203" s="9" t="s">
        <v>2</v>
      </c>
      <c r="B203" s="26"/>
      <c r="C203" s="33"/>
      <c r="F203" s="60"/>
      <c r="I203" s="55"/>
      <c r="M203" s="55"/>
    </row>
    <row r="204" spans="1:13" ht="15.75" customHeight="1" x14ac:dyDescent="0.3">
      <c r="A204" s="9" t="s">
        <v>315</v>
      </c>
      <c r="B204" s="26"/>
      <c r="C204" s="33"/>
      <c r="F204" s="60"/>
      <c r="I204" s="55"/>
      <c r="M204" s="55"/>
    </row>
    <row r="205" spans="1:13" ht="15.75" customHeight="1" x14ac:dyDescent="0.3">
      <c r="A205" s="9" t="s">
        <v>316</v>
      </c>
      <c r="B205" s="26">
        <f>B124*-1</f>
        <v>0</v>
      </c>
      <c r="C205" s="26">
        <f>C124*-1</f>
        <v>0</v>
      </c>
      <c r="F205" s="60"/>
      <c r="I205" s="55"/>
      <c r="M205" s="55"/>
    </row>
    <row r="206" spans="1:13" ht="15.75" customHeight="1" x14ac:dyDescent="0.3">
      <c r="A206" s="9" t="s">
        <v>317</v>
      </c>
      <c r="B206" s="26"/>
      <c r="C206" s="33"/>
      <c r="F206" s="60"/>
      <c r="I206" s="55"/>
      <c r="M206" s="55"/>
    </row>
    <row r="207" spans="1:13" ht="15.75" customHeight="1" x14ac:dyDescent="0.3">
      <c r="A207" s="9" t="s">
        <v>318</v>
      </c>
      <c r="B207" s="26"/>
      <c r="C207" s="33"/>
      <c r="F207" s="60"/>
      <c r="I207" s="55"/>
      <c r="M207" s="55"/>
    </row>
    <row r="208" spans="1:13" ht="15.75" customHeight="1" x14ac:dyDescent="0.3">
      <c r="A208" s="9" t="s">
        <v>10</v>
      </c>
      <c r="B208" s="26"/>
      <c r="C208" s="33"/>
      <c r="F208" s="60"/>
      <c r="I208" s="55"/>
      <c r="M208" s="55"/>
    </row>
    <row r="209" spans="1:13" ht="15.75" customHeight="1" x14ac:dyDescent="0.3">
      <c r="A209" s="9" t="s">
        <v>8</v>
      </c>
      <c r="B209" s="26">
        <f>'ACTIVA analyse'!K35</f>
        <v>3100</v>
      </c>
      <c r="C209" s="26">
        <f>'ACTIVA analyse'!L35</f>
        <v>3255</v>
      </c>
      <c r="F209" s="60"/>
      <c r="I209" s="55"/>
      <c r="M209" s="55"/>
    </row>
    <row r="210" spans="1:13" ht="15.75" customHeight="1" x14ac:dyDescent="0.3">
      <c r="A210" s="9" t="s">
        <v>319</v>
      </c>
      <c r="B210" s="26"/>
      <c r="C210" s="33"/>
      <c r="F210" s="60"/>
      <c r="I210" s="55"/>
      <c r="M210" s="55"/>
    </row>
    <row r="211" spans="1:13" ht="15.75" customHeight="1" x14ac:dyDescent="0.3">
      <c r="A211" s="9" t="s">
        <v>321</v>
      </c>
      <c r="B211" s="26"/>
      <c r="C211" s="33"/>
      <c r="F211" s="60"/>
      <c r="I211" s="55"/>
      <c r="M211" s="55"/>
    </row>
    <row r="212" spans="1:13" ht="15.75" customHeight="1" x14ac:dyDescent="0.3">
      <c r="A212" s="94" t="s">
        <v>66</v>
      </c>
      <c r="B212" s="54">
        <f>SUM(B203:B211)</f>
        <v>3100</v>
      </c>
      <c r="C212" s="222">
        <f>SUM(C203:C211)</f>
        <v>3255</v>
      </c>
      <c r="F212" s="60"/>
    </row>
    <row r="213" spans="1:13" ht="15.75" customHeight="1" x14ac:dyDescent="0.3">
      <c r="A213" s="218" t="s">
        <v>323</v>
      </c>
      <c r="B213" s="223">
        <f>B200-B212</f>
        <v>96775.392642448045</v>
      </c>
      <c r="C213" s="224">
        <f>C200-C212</f>
        <v>107381.81180524599</v>
      </c>
      <c r="F213" s="60"/>
      <c r="I213" s="55"/>
      <c r="M213" s="55"/>
    </row>
    <row r="214" spans="1:13" ht="15.75" customHeight="1" x14ac:dyDescent="0.3">
      <c r="F214" s="60"/>
      <c r="I214" s="55"/>
      <c r="M214" s="55"/>
    </row>
    <row r="215" spans="1:13" ht="15.75" customHeight="1" x14ac:dyDescent="0.3">
      <c r="F215" s="60"/>
      <c r="I215" s="55"/>
      <c r="M215" s="55"/>
    </row>
    <row r="216" spans="1:13" ht="15.75" customHeight="1" x14ac:dyDescent="0.3">
      <c r="F216" s="60"/>
      <c r="I216" s="55"/>
      <c r="M216" s="55"/>
    </row>
    <row r="217" spans="1:13" ht="15.75" customHeight="1" x14ac:dyDescent="0.3">
      <c r="F217" s="60"/>
      <c r="I217" s="55"/>
      <c r="M217" s="55"/>
    </row>
    <row r="218" spans="1:13" ht="15.75" customHeight="1" x14ac:dyDescent="0.3">
      <c r="F218" s="60"/>
      <c r="I218" s="55"/>
      <c r="M218" s="55"/>
    </row>
    <row r="219" spans="1:13" ht="15.75" customHeight="1" x14ac:dyDescent="0.3">
      <c r="A219" s="104" t="str">
        <f>A1</f>
        <v>VDO</v>
      </c>
      <c r="F219" s="60"/>
      <c r="I219" s="55"/>
      <c r="M219" s="55"/>
    </row>
    <row r="220" spans="1:13" ht="15.75" customHeight="1" x14ac:dyDescent="0.3">
      <c r="A220" s="104"/>
      <c r="F220" s="60"/>
      <c r="I220" s="55"/>
      <c r="M220" s="55"/>
    </row>
    <row r="221" spans="1:13" ht="15.75" customHeight="1" x14ac:dyDescent="0.3">
      <c r="A221" s="181" t="s">
        <v>334</v>
      </c>
      <c r="F221" s="60"/>
      <c r="I221" s="55"/>
      <c r="M221" s="55"/>
    </row>
    <row r="222" spans="1:13" ht="15.75" customHeight="1" x14ac:dyDescent="0.3">
      <c r="A222" s="188"/>
      <c r="F222" s="60"/>
      <c r="I222" s="55"/>
      <c r="M222" s="55"/>
    </row>
    <row r="223" spans="1:13" ht="15.75" customHeight="1" x14ac:dyDescent="0.3">
      <c r="A223" s="180"/>
      <c r="B223" s="11" t="str">
        <f>B144</f>
        <v>Jaar 1</v>
      </c>
      <c r="C223" s="11" t="str">
        <f>C144</f>
        <v>Jaar 2</v>
      </c>
      <c r="D223" s="11" t="str">
        <f>D144</f>
        <v>Jaar 3</v>
      </c>
      <c r="F223" s="60"/>
      <c r="I223" s="55"/>
      <c r="M223" s="55"/>
    </row>
    <row r="224" spans="1:13" ht="15.75" customHeight="1" x14ac:dyDescent="0.3">
      <c r="A224" s="183" t="s">
        <v>157</v>
      </c>
      <c r="F224" s="60"/>
      <c r="I224" s="55"/>
      <c r="M224" s="55"/>
    </row>
    <row r="225" spans="1:13" ht="9.75" customHeight="1" x14ac:dyDescent="0.3">
      <c r="A225" s="21"/>
      <c r="B225" s="6"/>
      <c r="C225" s="6"/>
      <c r="D225" s="6"/>
      <c r="F225" s="60"/>
      <c r="I225" s="55"/>
      <c r="M225" s="55"/>
    </row>
    <row r="226" spans="1:13" ht="15.75" customHeight="1" x14ac:dyDescent="0.3">
      <c r="A226" s="6" t="s">
        <v>158</v>
      </c>
      <c r="B226" s="43">
        <f>PASSIVA!B28+PASSIVA!B35</f>
        <v>336879.93603215995</v>
      </c>
      <c r="C226" s="43">
        <f>PASSIVA!D28+PASSIVA!D35</f>
        <v>316828.63886690629</v>
      </c>
      <c r="D226" s="43">
        <f>PASSIVA!F28+PASSIVA!F35</f>
        <v>299563.14694632054</v>
      </c>
      <c r="F226" s="60"/>
      <c r="I226" s="55"/>
      <c r="M226" s="55"/>
    </row>
    <row r="227" spans="1:13" ht="15.75" customHeight="1" x14ac:dyDescent="0.3">
      <c r="A227" s="6" t="s">
        <v>152</v>
      </c>
      <c r="B227" s="28">
        <f>PASSIVA!B6</f>
        <v>136949.77394183481</v>
      </c>
      <c r="C227" s="28">
        <f>PASSIVA!D6</f>
        <v>180601.35488234981</v>
      </c>
      <c r="D227" s="28">
        <f>PASSIVA!F6</f>
        <v>232233.16035250353</v>
      </c>
      <c r="F227" s="60"/>
      <c r="I227" s="55"/>
      <c r="M227" s="55"/>
    </row>
    <row r="228" spans="1:13" ht="15.75" customHeight="1" x14ac:dyDescent="0.3">
      <c r="A228" s="182" t="s">
        <v>162</v>
      </c>
      <c r="B228" s="196">
        <f>B226/B227</f>
        <v>2.4598794604453991</v>
      </c>
      <c r="C228" s="196">
        <f t="shared" ref="C228:D228" si="46">C226/C227</f>
        <v>1.754298239198149</v>
      </c>
      <c r="D228" s="196">
        <f t="shared" si="46"/>
        <v>1.2899240853098572</v>
      </c>
      <c r="F228" s="60"/>
      <c r="I228" s="55"/>
      <c r="M228" s="55"/>
    </row>
    <row r="229" spans="1:13" ht="15.75" customHeight="1" x14ac:dyDescent="0.3">
      <c r="B229" s="68"/>
      <c r="C229" s="68"/>
      <c r="D229" s="68"/>
      <c r="F229" s="60"/>
      <c r="I229" s="55"/>
      <c r="M229" s="55"/>
    </row>
    <row r="230" spans="1:13" ht="15.75" customHeight="1" x14ac:dyDescent="0.3">
      <c r="A230" s="6" t="s">
        <v>159</v>
      </c>
      <c r="B230" s="42">
        <f>PASSIVA!B58</f>
        <v>473829.70997399476</v>
      </c>
      <c r="C230" s="42">
        <f>PASSIVA!D58</f>
        <v>497429.99374925613</v>
      </c>
      <c r="D230" s="42">
        <f>PASSIVA!F58</f>
        <v>531796.30729882407</v>
      </c>
      <c r="F230" s="60"/>
      <c r="I230" s="55"/>
      <c r="M230" s="55"/>
    </row>
    <row r="231" spans="1:13" ht="15.75" customHeight="1" x14ac:dyDescent="0.3">
      <c r="A231" s="182" t="s">
        <v>163</v>
      </c>
      <c r="B231" s="196">
        <f>B226/B230</f>
        <v>0.71097258981638989</v>
      </c>
      <c r="C231" s="196">
        <f t="shared" ref="C231:D231" si="47">C226/C230</f>
        <v>0.63693111161007487</v>
      </c>
      <c r="D231" s="196">
        <f t="shared" si="47"/>
        <v>0.56330430060318504</v>
      </c>
      <c r="F231" s="60"/>
      <c r="I231" s="55"/>
      <c r="M231" s="55"/>
    </row>
    <row r="232" spans="1:13" ht="15.75" customHeight="1" x14ac:dyDescent="0.3">
      <c r="B232" s="80"/>
      <c r="C232" s="80"/>
      <c r="D232" s="80"/>
      <c r="F232" s="60"/>
      <c r="I232" s="55"/>
      <c r="M232" s="55"/>
    </row>
    <row r="233" spans="1:13" ht="15.75" customHeight="1" x14ac:dyDescent="0.3">
      <c r="A233" s="6" t="s">
        <v>469</v>
      </c>
      <c r="B233" s="268">
        <f>PASSIVA!B28</f>
        <v>228120.77007192845</v>
      </c>
      <c r="C233" s="268">
        <f>PASSIVA!D28</f>
        <v>204628.05698991212</v>
      </c>
      <c r="D233" s="268">
        <f>PASSIVA!F35</f>
        <v>119629.73482609174</v>
      </c>
      <c r="F233" s="60"/>
      <c r="I233" s="55"/>
      <c r="M233" s="55"/>
    </row>
    <row r="234" spans="1:13" ht="15.75" customHeight="1" x14ac:dyDescent="0.3">
      <c r="A234" s="182" t="s">
        <v>470</v>
      </c>
      <c r="B234" s="196">
        <f>B233/B227</f>
        <v>1.6657257876804945</v>
      </c>
      <c r="C234" s="196">
        <f t="shared" ref="C234:D234" si="48">C233/C227</f>
        <v>1.1330372195890455</v>
      </c>
      <c r="D234" s="196">
        <f t="shared" si="48"/>
        <v>0.51512770460733259</v>
      </c>
      <c r="F234" s="60"/>
      <c r="I234" s="55"/>
      <c r="M234" s="55"/>
    </row>
    <row r="235" spans="1:13" ht="15.75" customHeight="1" x14ac:dyDescent="0.3">
      <c r="B235" s="80"/>
      <c r="C235" s="80"/>
      <c r="D235" s="80"/>
      <c r="F235" s="60"/>
      <c r="I235" s="55"/>
      <c r="M235" s="55"/>
    </row>
    <row r="236" spans="1:13" ht="15.75" customHeight="1" x14ac:dyDescent="0.3">
      <c r="A236" s="183" t="s">
        <v>160</v>
      </c>
      <c r="F236" s="60"/>
      <c r="I236" s="55"/>
      <c r="M236" s="55"/>
    </row>
    <row r="237" spans="1:13" ht="9.75" customHeight="1" x14ac:dyDescent="0.3">
      <c r="A237" s="21"/>
      <c r="F237" s="60"/>
      <c r="I237" s="55"/>
      <c r="M237" s="55"/>
    </row>
    <row r="238" spans="1:13" ht="15.75" customHeight="1" x14ac:dyDescent="0.3">
      <c r="A238" s="6" t="s">
        <v>164</v>
      </c>
      <c r="B238" s="267">
        <f>B227/B226</f>
        <v>0.40652398464229411</v>
      </c>
      <c r="C238" s="267">
        <f>C227/C226</f>
        <v>0.57002850350980117</v>
      </c>
      <c r="D238" s="267">
        <f>D227/D226</f>
        <v>0.775239420201838</v>
      </c>
      <c r="F238" s="60"/>
      <c r="I238" s="55"/>
      <c r="M238" s="55"/>
    </row>
    <row r="239" spans="1:13" ht="15.75" customHeight="1" x14ac:dyDescent="0.3">
      <c r="A239" s="6" t="s">
        <v>161</v>
      </c>
      <c r="B239" s="256">
        <f>B227/B230</f>
        <v>0.28902741018361011</v>
      </c>
      <c r="C239" s="257">
        <f>C227/C230</f>
        <v>0.36306888838992513</v>
      </c>
      <c r="D239" s="256">
        <f>D227/D230</f>
        <v>0.43669569939681502</v>
      </c>
      <c r="F239" s="60"/>
      <c r="I239" s="55"/>
      <c r="M239" s="55"/>
    </row>
    <row r="240" spans="1:13" ht="15.75" customHeight="1" x14ac:dyDescent="0.3">
      <c r="B240" s="269"/>
      <c r="C240" s="269"/>
      <c r="D240" s="269"/>
      <c r="F240" s="60"/>
      <c r="I240" s="55"/>
      <c r="M240" s="55"/>
    </row>
    <row r="241" spans="1:13" ht="15.75" customHeight="1" x14ac:dyDescent="0.3">
      <c r="A241" s="182" t="s">
        <v>472</v>
      </c>
      <c r="B241" s="267">
        <f>B227/B233</f>
        <v>0.60033890775773446</v>
      </c>
      <c r="C241" s="267">
        <f t="shared" ref="C241:D241" si="49">C227/C233</f>
        <v>0.88258353980878201</v>
      </c>
      <c r="D241" s="267">
        <f t="shared" si="49"/>
        <v>1.9412661968205962</v>
      </c>
      <c r="F241" s="60"/>
      <c r="I241" s="55"/>
      <c r="M241" s="55"/>
    </row>
    <row r="242" spans="1:13" ht="15.75" customHeight="1" x14ac:dyDescent="0.3">
      <c r="A242" s="6" t="s">
        <v>473</v>
      </c>
      <c r="B242" s="269"/>
      <c r="C242" s="269"/>
      <c r="D242" s="269"/>
      <c r="F242" s="60"/>
      <c r="I242" s="55"/>
      <c r="M242" s="55"/>
    </row>
    <row r="243" spans="1:13" ht="15.75" customHeight="1" x14ac:dyDescent="0.3">
      <c r="B243" s="121"/>
      <c r="C243" s="121"/>
      <c r="D243" s="121"/>
      <c r="F243" s="60"/>
      <c r="I243" s="55"/>
      <c r="M243" s="55"/>
    </row>
    <row r="244" spans="1:13" ht="15.75" customHeight="1" x14ac:dyDescent="0.3">
      <c r="A244" s="183" t="s">
        <v>475</v>
      </c>
      <c r="B244" s="121"/>
      <c r="C244" s="121"/>
      <c r="D244" s="121"/>
      <c r="F244" s="60"/>
      <c r="I244" s="55"/>
      <c r="M244" s="55"/>
    </row>
    <row r="245" spans="1:13" ht="8.25" customHeight="1" x14ac:dyDescent="0.3">
      <c r="B245" s="121"/>
      <c r="C245" s="121"/>
      <c r="D245" s="121"/>
      <c r="F245" s="60"/>
      <c r="I245" s="55"/>
      <c r="M245" s="55"/>
    </row>
    <row r="246" spans="1:13" ht="15.75" customHeight="1" x14ac:dyDescent="0.3">
      <c r="A246" s="6" t="s">
        <v>339</v>
      </c>
      <c r="B246" s="43">
        <f>PASSIVA!B32+PASSIVA!B37+PASSIVA!B23</f>
        <v>250470.0514998018</v>
      </c>
      <c r="C246" s="43">
        <f>PASSIVA!D32+PASSIVA!D37+PASSIVA!D23</f>
        <v>228120.77007192845</v>
      </c>
      <c r="D246" s="43">
        <f>PASSIVA!F32+PASSIVA!F37+PASSIVA!F23</f>
        <v>204628.05698991212</v>
      </c>
      <c r="F246" s="60"/>
      <c r="I246" s="55"/>
      <c r="M246" s="55"/>
    </row>
    <row r="247" spans="1:13" ht="15.75" customHeight="1" x14ac:dyDescent="0.3">
      <c r="A247" s="6" t="s">
        <v>340</v>
      </c>
      <c r="B247" s="28">
        <f>ACTIVA!B39</f>
        <v>107829.70997399464</v>
      </c>
      <c r="C247" s="28">
        <f>ACTIVA!D39</f>
        <v>170329.99374925601</v>
      </c>
      <c r="D247" s="28">
        <f>ACTIVA!F39</f>
        <v>243441.30729882396</v>
      </c>
      <c r="F247" s="60"/>
      <c r="I247" s="55"/>
      <c r="M247" s="55"/>
    </row>
    <row r="248" spans="1:13" ht="15.75" customHeight="1" x14ac:dyDescent="0.3">
      <c r="A248" s="182" t="s">
        <v>338</v>
      </c>
      <c r="B248" s="194">
        <f>B246-B247</f>
        <v>142640.34152580716</v>
      </c>
      <c r="C248" s="194">
        <f t="shared" ref="C248:D248" si="50">C246-C247</f>
        <v>57790.776322672435</v>
      </c>
      <c r="D248" s="194">
        <f t="shared" si="50"/>
        <v>-38813.25030891184</v>
      </c>
      <c r="F248" s="60"/>
      <c r="I248" s="55"/>
      <c r="M248" s="55"/>
    </row>
    <row r="249" spans="1:13" ht="15.75" customHeight="1" x14ac:dyDescent="0.3">
      <c r="F249" s="60"/>
      <c r="I249" s="55"/>
      <c r="M249" s="55"/>
    </row>
    <row r="250" spans="1:13" ht="7.5" customHeight="1" x14ac:dyDescent="0.3">
      <c r="F250" s="60"/>
      <c r="I250" s="55"/>
      <c r="M250" s="55"/>
    </row>
    <row r="251" spans="1:13" ht="15.75" customHeight="1" x14ac:dyDescent="0.3">
      <c r="A251" s="6" t="s">
        <v>474</v>
      </c>
      <c r="B251" s="43">
        <f>B248</f>
        <v>142640.34152580716</v>
      </c>
      <c r="C251" s="43">
        <f>C248</f>
        <v>57790.776322672435</v>
      </c>
      <c r="D251" s="43">
        <f>D248</f>
        <v>-38813.25030891184</v>
      </c>
      <c r="F251" s="60"/>
      <c r="I251" s="55"/>
      <c r="M251" s="55"/>
    </row>
    <row r="252" spans="1:13" ht="15.75" customHeight="1" x14ac:dyDescent="0.3">
      <c r="A252" s="6" t="s">
        <v>152</v>
      </c>
      <c r="B252" s="28">
        <f>B227</f>
        <v>136949.77394183481</v>
      </c>
      <c r="C252" s="28">
        <f>C227</f>
        <v>180601.35488234981</v>
      </c>
      <c r="D252" s="28">
        <f>D227</f>
        <v>232233.16035250353</v>
      </c>
      <c r="E252" s="6"/>
      <c r="F252" s="60"/>
      <c r="I252" s="55"/>
      <c r="M252" s="55"/>
    </row>
    <row r="253" spans="1:13" ht="15.75" customHeight="1" x14ac:dyDescent="0.3">
      <c r="A253" s="182" t="s">
        <v>477</v>
      </c>
      <c r="B253" s="196">
        <f>(B251/B252)</f>
        <v>1.0415522232726668</v>
      </c>
      <c r="C253" s="196">
        <f t="shared" ref="C253:D253" si="51">(C251/C252)</f>
        <v>0.31999082376939758</v>
      </c>
      <c r="D253" s="196">
        <f t="shared" si="51"/>
        <v>-0.16713052627797745</v>
      </c>
      <c r="F253" s="60"/>
      <c r="I253" s="55"/>
      <c r="M253" s="55"/>
    </row>
    <row r="254" spans="1:13" ht="15.75" customHeight="1" x14ac:dyDescent="0.3">
      <c r="B254" s="80"/>
      <c r="C254" s="80"/>
      <c r="D254" s="80"/>
      <c r="F254" s="60"/>
      <c r="I254" s="55"/>
      <c r="M254" s="55"/>
    </row>
    <row r="255" spans="1:13" ht="15.75" customHeight="1" x14ac:dyDescent="0.3">
      <c r="A255" s="6" t="s">
        <v>474</v>
      </c>
      <c r="B255" s="43">
        <f>B248</f>
        <v>142640.34152580716</v>
      </c>
      <c r="C255" s="43">
        <f>C248</f>
        <v>57790.776322672435</v>
      </c>
      <c r="D255" s="43">
        <f>D248</f>
        <v>-38813.25030891184</v>
      </c>
      <c r="F255" s="60"/>
      <c r="I255" s="55"/>
      <c r="M255" s="55"/>
    </row>
    <row r="256" spans="1:13" ht="15.75" customHeight="1" x14ac:dyDescent="0.3">
      <c r="A256" s="6" t="s">
        <v>130</v>
      </c>
      <c r="B256" s="28">
        <f>RESULTAAT!B41</f>
        <v>117581.16800000006</v>
      </c>
      <c r="C256" s="28">
        <f>RESULTAAT!C41</f>
        <v>112127.93536</v>
      </c>
      <c r="D256" s="28">
        <f>RESULTAAT!D41</f>
        <v>121620.19246719999</v>
      </c>
      <c r="F256" s="60"/>
      <c r="I256" s="55"/>
      <c r="M256" s="55"/>
    </row>
    <row r="257" spans="1:13" ht="15.75" customHeight="1" x14ac:dyDescent="0.3">
      <c r="A257" s="182" t="s">
        <v>490</v>
      </c>
      <c r="B257" s="196">
        <f>(B255/B256)</f>
        <v>1.2131223388239101</v>
      </c>
      <c r="C257" s="196">
        <f t="shared" ref="C257:D257" si="52">(C255/C256)</f>
        <v>0.51540034280599489</v>
      </c>
      <c r="D257" s="196">
        <f t="shared" si="52"/>
        <v>-0.31913491930527466</v>
      </c>
      <c r="F257" s="60"/>
      <c r="I257" s="55"/>
      <c r="M257" s="55"/>
    </row>
    <row r="258" spans="1:13" ht="15.75" customHeight="1" x14ac:dyDescent="0.3">
      <c r="B258" s="80"/>
      <c r="C258" s="80"/>
      <c r="D258" s="80"/>
      <c r="F258" s="60"/>
      <c r="I258" s="55"/>
      <c r="M258" s="55"/>
    </row>
    <row r="259" spans="1:13" ht="15.75" customHeight="1" x14ac:dyDescent="0.3">
      <c r="B259" s="5"/>
      <c r="C259" s="5"/>
      <c r="D259" s="5"/>
      <c r="F259" s="60"/>
      <c r="I259" s="55"/>
      <c r="M259" s="55"/>
    </row>
    <row r="260" spans="1:13" ht="15.75" customHeight="1" x14ac:dyDescent="0.3">
      <c r="A260" s="183" t="s">
        <v>373</v>
      </c>
      <c r="B260" s="5"/>
      <c r="C260" s="5"/>
      <c r="D260" s="5"/>
      <c r="F260" s="60"/>
      <c r="I260" s="55"/>
      <c r="M260" s="55"/>
    </row>
    <row r="261" spans="1:13" ht="6.75" customHeight="1" x14ac:dyDescent="0.3">
      <c r="B261" s="5"/>
      <c r="C261" s="5"/>
      <c r="D261" s="5"/>
      <c r="F261" s="60"/>
      <c r="I261" s="55"/>
      <c r="M261" s="55"/>
    </row>
    <row r="262" spans="1:13" ht="15.75" customHeight="1" x14ac:dyDescent="0.3">
      <c r="A262" s="6" t="s">
        <v>17</v>
      </c>
      <c r="B262" s="43">
        <f>PASSIVA!B14</f>
        <v>0</v>
      </c>
      <c r="C262" s="195">
        <f>PASSIVA!D14</f>
        <v>0</v>
      </c>
      <c r="D262" s="43">
        <f>PASSIVA!F14</f>
        <v>0</v>
      </c>
      <c r="F262" s="60"/>
      <c r="I262" s="55"/>
      <c r="M262" s="55"/>
    </row>
    <row r="263" spans="1:13" ht="15.75" customHeight="1" x14ac:dyDescent="0.3">
      <c r="A263" s="6" t="s">
        <v>374</v>
      </c>
      <c r="B263" s="28">
        <f>PASSIVA!B19</f>
        <v>46949.773941834806</v>
      </c>
      <c r="C263" s="5">
        <f>PASSIVA!D19</f>
        <v>90601.354882349813</v>
      </c>
      <c r="D263" s="28">
        <f>PASSIVA!F19</f>
        <v>142233.16035250353</v>
      </c>
      <c r="F263" s="60"/>
      <c r="I263" s="55"/>
      <c r="M263" s="55"/>
    </row>
    <row r="264" spans="1:13" ht="15.75" customHeight="1" x14ac:dyDescent="0.3">
      <c r="A264" s="6" t="s">
        <v>159</v>
      </c>
      <c r="B264" s="28">
        <f>PASSIVA!B58</f>
        <v>473829.70997399476</v>
      </c>
      <c r="C264" s="5">
        <f>PASSIVA!D58</f>
        <v>497429.99374925613</v>
      </c>
      <c r="D264" s="28">
        <f>PASSIVA!F58</f>
        <v>531796.30729882407</v>
      </c>
      <c r="F264" s="60"/>
      <c r="I264" s="55"/>
      <c r="M264" s="55"/>
    </row>
    <row r="265" spans="1:13" ht="15.75" customHeight="1" x14ac:dyDescent="0.3">
      <c r="A265" s="193" t="s">
        <v>375</v>
      </c>
      <c r="B265" s="196">
        <f>(B262+B263)/B264</f>
        <v>9.9085753707616936E-2</v>
      </c>
      <c r="C265" s="196">
        <f t="shared" ref="C265:D265" si="53">(C262+C263)/C264</f>
        <v>0.18213890601864274</v>
      </c>
      <c r="D265" s="196">
        <f t="shared" si="53"/>
        <v>0.26745796915167491</v>
      </c>
      <c r="F265" s="60"/>
      <c r="I265" s="55"/>
      <c r="M265" s="55"/>
    </row>
    <row r="266" spans="1:13" ht="15" customHeight="1" x14ac:dyDescent="0.3">
      <c r="B266" s="5"/>
      <c r="C266" s="5"/>
      <c r="D266" s="5"/>
      <c r="F266" s="60"/>
      <c r="I266" s="55"/>
      <c r="M266" s="55"/>
    </row>
    <row r="267" spans="1:13" ht="15.75" customHeight="1" x14ac:dyDescent="0.3">
      <c r="A267" s="183" t="s">
        <v>341</v>
      </c>
      <c r="B267" s="5"/>
      <c r="C267" s="5"/>
      <c r="D267" s="5"/>
      <c r="F267" s="60"/>
      <c r="I267" s="55"/>
      <c r="M267" s="55"/>
    </row>
    <row r="268" spans="1:13" ht="7.5" customHeight="1" x14ac:dyDescent="0.3">
      <c r="B268" s="5"/>
      <c r="C268" s="5"/>
      <c r="D268" s="5"/>
      <c r="F268" s="60"/>
      <c r="I268" s="55"/>
      <c r="M268" s="55"/>
    </row>
    <row r="269" spans="1:13" ht="15.75" customHeight="1" x14ac:dyDescent="0.3">
      <c r="A269" s="6" t="s">
        <v>165</v>
      </c>
      <c r="B269" s="43">
        <f>RESULTAAT!B48</f>
        <v>62599.698589113075</v>
      </c>
      <c r="C269" s="43">
        <f>RESULTAAT!C48</f>
        <v>58202.107920686685</v>
      </c>
      <c r="D269" s="43">
        <f>RESULTAAT!D48</f>
        <v>68842.407293538286</v>
      </c>
      <c r="F269" s="60"/>
      <c r="I269" s="55"/>
      <c r="M269" s="55"/>
    </row>
    <row r="270" spans="1:13" ht="15.75" customHeight="1" x14ac:dyDescent="0.3">
      <c r="A270" s="6" t="s">
        <v>342</v>
      </c>
      <c r="B270" s="28">
        <f>RESULTAAT!B45</f>
        <v>12981.469410886984</v>
      </c>
      <c r="C270" s="28">
        <f>RESULTAAT!C45</f>
        <v>11925.827439313314</v>
      </c>
      <c r="D270" s="28">
        <f>RESULTAAT!D45</f>
        <v>10777.785173661705</v>
      </c>
      <c r="F270" s="60"/>
      <c r="I270" s="55"/>
      <c r="M270" s="55"/>
    </row>
    <row r="271" spans="1:13" ht="15.75" customHeight="1" x14ac:dyDescent="0.3">
      <c r="A271" s="182" t="s">
        <v>343</v>
      </c>
      <c r="B271" s="194">
        <f>(B269+B270)/B270</f>
        <v>5.822235188307225</v>
      </c>
      <c r="C271" s="194">
        <f t="shared" ref="C271:D271" si="54">(C269+C270)/C270</f>
        <v>5.8803412775221195</v>
      </c>
      <c r="D271" s="194">
        <f t="shared" si="54"/>
        <v>7.3874354688171406</v>
      </c>
      <c r="F271" s="60"/>
      <c r="I271" s="55"/>
      <c r="M271" s="55"/>
    </row>
    <row r="272" spans="1:13" ht="15.75" customHeight="1" x14ac:dyDescent="0.3">
      <c r="B272" s="5"/>
      <c r="C272" s="5"/>
      <c r="D272" s="5"/>
      <c r="F272" s="60"/>
      <c r="I272" s="55"/>
      <c r="M272" s="55"/>
    </row>
    <row r="273" spans="1:13" ht="15.75" customHeight="1" x14ac:dyDescent="0.3">
      <c r="A273" s="183" t="s">
        <v>263</v>
      </c>
      <c r="B273" s="160"/>
      <c r="C273" s="160"/>
      <c r="D273" s="160"/>
      <c r="F273" s="60"/>
      <c r="I273" s="55"/>
      <c r="M273" s="55"/>
    </row>
    <row r="274" spans="1:13" ht="8.25" customHeight="1" x14ac:dyDescent="0.3">
      <c r="F274" s="60"/>
      <c r="I274" s="55"/>
      <c r="M274" s="55"/>
    </row>
    <row r="275" spans="1:13" ht="15.75" customHeight="1" x14ac:dyDescent="0.3">
      <c r="A275" s="21"/>
      <c r="B275" s="11" t="s">
        <v>100</v>
      </c>
      <c r="C275" s="11" t="s">
        <v>179</v>
      </c>
      <c r="F275" s="60"/>
      <c r="I275" s="55"/>
      <c r="M275" s="55"/>
    </row>
    <row r="276" spans="1:13" ht="15.75" customHeight="1" x14ac:dyDescent="0.3">
      <c r="A276" s="6" t="s">
        <v>487</v>
      </c>
      <c r="B276" s="43">
        <f>B109</f>
        <v>85651.580940515007</v>
      </c>
      <c r="C276" s="43">
        <f>C109</f>
        <v>93631.805470153718</v>
      </c>
      <c r="F276" s="60"/>
      <c r="I276" s="55"/>
      <c r="M276" s="55"/>
    </row>
    <row r="277" spans="1:13" ht="15.75" customHeight="1" x14ac:dyDescent="0.3">
      <c r="A277" s="6" t="s">
        <v>207</v>
      </c>
      <c r="B277" s="28">
        <f>C226</f>
        <v>316828.63886690629</v>
      </c>
      <c r="C277" s="28">
        <f>D226</f>
        <v>299563.14694632054</v>
      </c>
      <c r="F277" s="60"/>
      <c r="I277" s="55"/>
      <c r="M277" s="55"/>
    </row>
    <row r="278" spans="1:13" ht="15.75" customHeight="1" x14ac:dyDescent="0.3">
      <c r="A278" s="182" t="s">
        <v>344</v>
      </c>
      <c r="B278" s="194">
        <f>B276/B277</f>
        <v>0.27034039992986747</v>
      </c>
      <c r="C278" s="194">
        <f>C276/C277</f>
        <v>0.31256116256160116</v>
      </c>
      <c r="F278" s="60"/>
      <c r="I278" s="55"/>
      <c r="M278" s="55"/>
    </row>
    <row r="279" spans="1:13" ht="15.75" customHeight="1" x14ac:dyDescent="0.3">
      <c r="B279" s="5"/>
      <c r="C279" s="5"/>
      <c r="F279" s="60"/>
      <c r="I279" s="55"/>
      <c r="M279" s="55"/>
    </row>
    <row r="280" spans="1:13" ht="15.75" customHeight="1" x14ac:dyDescent="0.3">
      <c r="A280" s="183" t="s">
        <v>376</v>
      </c>
      <c r="B280" s="5"/>
      <c r="C280" s="5"/>
      <c r="F280" s="60"/>
      <c r="I280" s="55"/>
      <c r="M280" s="55"/>
    </row>
    <row r="281" spans="1:13" ht="7.5" customHeight="1" x14ac:dyDescent="0.3">
      <c r="B281" s="5"/>
      <c r="C281" s="5"/>
      <c r="F281" s="60"/>
      <c r="I281" s="55"/>
      <c r="M281" s="55"/>
    </row>
    <row r="282" spans="1:13" ht="15.75" customHeight="1" x14ac:dyDescent="0.3">
      <c r="A282" s="6" t="s">
        <v>378</v>
      </c>
      <c r="B282" s="43">
        <f>B251</f>
        <v>142640.34152580716</v>
      </c>
      <c r="C282" s="195">
        <f t="shared" ref="C282:D282" si="55">C251</f>
        <v>57790.776322672435</v>
      </c>
      <c r="D282" s="43">
        <f t="shared" si="55"/>
        <v>-38813.25030891184</v>
      </c>
      <c r="F282" s="60"/>
      <c r="I282" s="55"/>
      <c r="M282" s="55"/>
    </row>
    <row r="283" spans="1:13" ht="15.75" customHeight="1" x14ac:dyDescent="0.3">
      <c r="A283" s="6" t="s">
        <v>130</v>
      </c>
      <c r="B283" s="44">
        <f>RESULTAAT!B41</f>
        <v>117581.16800000006</v>
      </c>
      <c r="C283" s="5">
        <f>RESULTAAT!C41</f>
        <v>112127.93536</v>
      </c>
      <c r="D283" s="28">
        <f>RESULTAAT!D41</f>
        <v>121620.19246719999</v>
      </c>
      <c r="F283" s="60"/>
      <c r="I283" s="55"/>
      <c r="M283" s="55"/>
    </row>
    <row r="284" spans="1:13" ht="15.75" customHeight="1" x14ac:dyDescent="0.3">
      <c r="A284" s="193" t="s">
        <v>379</v>
      </c>
      <c r="B284" s="197">
        <f>B282/B283</f>
        <v>1.2131223388239101</v>
      </c>
      <c r="C284" s="197">
        <f t="shared" ref="C284:D284" si="56">C282/C283</f>
        <v>0.51540034280599489</v>
      </c>
      <c r="D284" s="194">
        <f t="shared" si="56"/>
        <v>-0.31913491930527466</v>
      </c>
      <c r="F284" s="60"/>
      <c r="I284" s="55"/>
      <c r="M284" s="55"/>
    </row>
    <row r="285" spans="1:13" ht="15.75" customHeight="1" x14ac:dyDescent="0.3">
      <c r="B285" s="5"/>
      <c r="C285" s="5"/>
      <c r="D285" s="5"/>
      <c r="F285" s="60"/>
      <c r="I285" s="55"/>
      <c r="M285" s="55"/>
    </row>
    <row r="286" spans="1:13" ht="15.75" customHeight="1" x14ac:dyDescent="0.3">
      <c r="B286" s="5"/>
      <c r="C286" s="5"/>
      <c r="D286" s="5"/>
      <c r="F286" s="60"/>
      <c r="I286" s="55"/>
      <c r="M286" s="55"/>
    </row>
    <row r="287" spans="1:13" ht="15.75" customHeight="1" x14ac:dyDescent="0.3">
      <c r="B287" s="5"/>
      <c r="C287" s="5"/>
      <c r="D287" s="5"/>
      <c r="F287" s="60"/>
      <c r="I287" s="55"/>
      <c r="M287" s="55"/>
    </row>
    <row r="288" spans="1:13" ht="15.75" customHeight="1" x14ac:dyDescent="0.3">
      <c r="B288" s="5"/>
      <c r="C288" s="5"/>
      <c r="D288" s="5"/>
      <c r="F288" s="60"/>
      <c r="I288" s="55"/>
      <c r="M288" s="55"/>
    </row>
    <row r="289" spans="1:13" ht="15.75" customHeight="1" x14ac:dyDescent="0.3">
      <c r="B289" s="5"/>
      <c r="C289" s="5"/>
      <c r="D289" s="5"/>
      <c r="F289" s="60"/>
      <c r="I289" s="55"/>
      <c r="M289" s="55"/>
    </row>
    <row r="290" spans="1:13" ht="15.75" customHeight="1" x14ac:dyDescent="0.3">
      <c r="A290" s="10"/>
      <c r="B290" s="198"/>
      <c r="C290" s="198"/>
      <c r="F290" s="60"/>
      <c r="I290" s="55"/>
      <c r="M290" s="55"/>
    </row>
    <row r="291" spans="1:13" ht="15.75" customHeight="1" x14ac:dyDescent="0.3">
      <c r="F291" s="60"/>
      <c r="I291" s="55"/>
      <c r="M291" s="55"/>
    </row>
    <row r="292" spans="1:13" ht="15.75" customHeight="1" x14ac:dyDescent="0.3">
      <c r="A292" s="184" t="s">
        <v>333</v>
      </c>
      <c r="F292" s="60"/>
      <c r="I292" s="55"/>
      <c r="M292" s="55"/>
    </row>
    <row r="293" spans="1:13" ht="15.75" customHeight="1" x14ac:dyDescent="0.3">
      <c r="A293" s="180"/>
      <c r="F293" s="60"/>
      <c r="I293" s="55"/>
      <c r="M293" s="55"/>
    </row>
    <row r="294" spans="1:13" ht="15.75" customHeight="1" x14ac:dyDescent="0.3">
      <c r="A294" s="10"/>
      <c r="B294" s="105" t="str">
        <f>B223</f>
        <v>Jaar 1</v>
      </c>
      <c r="C294" s="105" t="str">
        <f>C223</f>
        <v>Jaar 2</v>
      </c>
      <c r="D294" s="105" t="str">
        <f>D223</f>
        <v>Jaar 3</v>
      </c>
      <c r="F294" s="60"/>
      <c r="I294" s="55"/>
      <c r="M294" s="55"/>
    </row>
    <row r="295" spans="1:13" ht="15" customHeight="1" x14ac:dyDescent="0.3">
      <c r="A295" s="183" t="s">
        <v>195</v>
      </c>
      <c r="B295" s="20"/>
      <c r="C295" s="20"/>
      <c r="F295" s="60"/>
      <c r="I295" s="55"/>
      <c r="M295" s="55"/>
    </row>
    <row r="296" spans="1:13" ht="5.25" customHeight="1" x14ac:dyDescent="0.3">
      <c r="F296" s="60"/>
      <c r="G296" s="59" t="s">
        <v>189</v>
      </c>
      <c r="H296" s="59" t="s">
        <v>188</v>
      </c>
    </row>
    <row r="297" spans="1:13" ht="15" customHeight="1" x14ac:dyDescent="0.3">
      <c r="A297" s="6" t="s">
        <v>196</v>
      </c>
      <c r="B297" s="38">
        <f>RESULTAAT!B19</f>
        <v>558000</v>
      </c>
      <c r="C297" s="38">
        <f>RESULTAAT!C19</f>
        <v>585900</v>
      </c>
      <c r="D297" s="38">
        <f>RESULTAAT!D19</f>
        <v>615195</v>
      </c>
      <c r="F297" s="60" t="s">
        <v>190</v>
      </c>
      <c r="G297" s="1" t="e">
        <f>#REF!+#REF!</f>
        <v>#REF!</v>
      </c>
      <c r="H297" s="1" t="e">
        <f>#REF!+#REF!</f>
        <v>#REF!</v>
      </c>
      <c r="I297" s="1" t="e">
        <f>H297-G297</f>
        <v>#REF!</v>
      </c>
    </row>
    <row r="298" spans="1:13" ht="15" customHeight="1" x14ac:dyDescent="0.3">
      <c r="A298" s="6" t="s">
        <v>197</v>
      </c>
      <c r="B298" s="41"/>
      <c r="C298" s="41"/>
      <c r="D298" s="41"/>
      <c r="F298" s="60"/>
    </row>
    <row r="299" spans="1:13" ht="15" customHeight="1" x14ac:dyDescent="0.3">
      <c r="A299" s="185" t="s">
        <v>336</v>
      </c>
      <c r="B299" s="226"/>
      <c r="C299" s="226"/>
      <c r="D299" s="226"/>
      <c r="E299" s="2" t="s">
        <v>580</v>
      </c>
      <c r="F299" s="60">
        <v>24</v>
      </c>
      <c r="G299" s="1">
        <v>70000</v>
      </c>
      <c r="H299" s="1">
        <v>50000</v>
      </c>
      <c r="I299" s="61">
        <f>H299-G299</f>
        <v>-20000</v>
      </c>
    </row>
    <row r="300" spans="1:13" ht="15" customHeight="1" x14ac:dyDescent="0.3">
      <c r="A300" s="186" t="s">
        <v>337</v>
      </c>
      <c r="B300" s="258"/>
      <c r="C300" s="258"/>
      <c r="D300" s="258"/>
      <c r="E300" s="2" t="s">
        <v>581</v>
      </c>
      <c r="F300" s="60">
        <v>2409</v>
      </c>
      <c r="G300" s="1">
        <v>-7000</v>
      </c>
      <c r="H300" s="1">
        <f>G300+2000-5000</f>
        <v>-10000</v>
      </c>
    </row>
    <row r="301" spans="1:13" x14ac:dyDescent="0.3">
      <c r="A301" s="10"/>
      <c r="B301" s="20"/>
      <c r="C301" s="20"/>
      <c r="D301" s="20"/>
      <c r="F301" s="60"/>
    </row>
    <row r="302" spans="1:13" ht="15" customHeight="1" x14ac:dyDescent="0.3">
      <c r="A302" s="183" t="s">
        <v>198</v>
      </c>
      <c r="B302" s="20"/>
      <c r="C302" s="20"/>
      <c r="D302" s="20"/>
      <c r="F302" s="60"/>
    </row>
    <row r="303" spans="1:13" ht="7.5" customHeight="1" x14ac:dyDescent="0.3">
      <c r="F303" s="60" t="s">
        <v>190</v>
      </c>
      <c r="G303" s="1">
        <f>G299+G300</f>
        <v>63000</v>
      </c>
      <c r="H303" s="1">
        <f>H299+H300</f>
        <v>40000</v>
      </c>
      <c r="I303" s="1">
        <f>H303-G303</f>
        <v>-23000</v>
      </c>
    </row>
    <row r="304" spans="1:13" ht="15" customHeight="1" x14ac:dyDescent="0.3">
      <c r="A304" s="6" t="s">
        <v>199</v>
      </c>
      <c r="B304" s="38">
        <f>ACTIVA!B35</f>
        <v>62000</v>
      </c>
      <c r="C304" s="38">
        <f>ACTIVA!D35</f>
        <v>65100</v>
      </c>
      <c r="D304" s="38">
        <f>ACTIVA!F34</f>
        <v>68355</v>
      </c>
      <c r="F304" s="60" t="s">
        <v>191</v>
      </c>
      <c r="G304" s="1" t="s">
        <v>171</v>
      </c>
      <c r="I304" s="1" t="e">
        <f>(I297+I303)*-1</f>
        <v>#REF!</v>
      </c>
    </row>
    <row r="305" spans="1:15" ht="15" customHeight="1" x14ac:dyDescent="0.3">
      <c r="A305" s="6" t="s">
        <v>200</v>
      </c>
      <c r="B305" s="26">
        <f>RESULTAAT!B7</f>
        <v>945000</v>
      </c>
      <c r="C305" s="26">
        <f>RESULTAAT!C7</f>
        <v>976500</v>
      </c>
      <c r="D305" s="26">
        <f>RESULTAAT!D7</f>
        <v>1025325</v>
      </c>
      <c r="F305" s="60"/>
      <c r="G305" s="1" t="s">
        <v>192</v>
      </c>
      <c r="I305" s="1">
        <f>(L305+L306)*-1</f>
        <v>-30000</v>
      </c>
      <c r="J305" s="1" t="s">
        <v>193</v>
      </c>
      <c r="L305" s="1">
        <f>27000+5000</f>
        <v>32000</v>
      </c>
    </row>
    <row r="306" spans="1:15" ht="15" customHeight="1" x14ac:dyDescent="0.3">
      <c r="A306" s="6" t="s">
        <v>201</v>
      </c>
      <c r="B306" s="41"/>
      <c r="C306" s="41"/>
      <c r="D306" s="41"/>
      <c r="J306" s="1" t="s">
        <v>194</v>
      </c>
      <c r="L306" s="1">
        <v>-2000</v>
      </c>
    </row>
    <row r="307" spans="1:15" ht="15" customHeight="1" x14ac:dyDescent="0.3">
      <c r="A307" s="187" t="s">
        <v>335</v>
      </c>
      <c r="B307" s="226">
        <f>(B304/(B305+B306))*365</f>
        <v>23.947089947089946</v>
      </c>
      <c r="C307" s="226">
        <f t="shared" ref="C307:D307" si="57">(C304/(C305+C306))*365</f>
        <v>24.333333333333332</v>
      </c>
      <c r="D307" s="226">
        <f t="shared" si="57"/>
        <v>24.333333333333332</v>
      </c>
      <c r="I307" s="61" t="e">
        <f>I304+I305</f>
        <v>#REF!</v>
      </c>
    </row>
    <row r="308" spans="1:15" x14ac:dyDescent="0.3">
      <c r="A308" s="10"/>
      <c r="B308" s="20"/>
      <c r="C308" s="20"/>
      <c r="D308" s="20"/>
      <c r="I308" s="55"/>
    </row>
    <row r="309" spans="1:15" ht="15" customHeight="1" x14ac:dyDescent="0.3">
      <c r="A309" s="183" t="s">
        <v>202</v>
      </c>
      <c r="B309" s="20"/>
      <c r="C309" s="20"/>
      <c r="D309" s="20"/>
      <c r="I309" s="55"/>
    </row>
    <row r="310" spans="1:15" ht="8.25" customHeight="1" x14ac:dyDescent="0.3"/>
    <row r="311" spans="1:15" ht="15" customHeight="1" x14ac:dyDescent="0.3">
      <c r="A311" s="6" t="s">
        <v>203</v>
      </c>
      <c r="B311" s="38">
        <f>PASSIVA!B46</f>
        <v>69750</v>
      </c>
      <c r="C311" s="38">
        <f>PASSIVA!D46</f>
        <v>73237.5</v>
      </c>
      <c r="D311" s="38">
        <f>PASSIVA!F46</f>
        <v>76899.375</v>
      </c>
      <c r="F311" s="60">
        <v>23</v>
      </c>
      <c r="G311" s="1">
        <v>100000</v>
      </c>
      <c r="H311" s="1">
        <v>40000</v>
      </c>
      <c r="I311" s="61">
        <f>H311-G311</f>
        <v>-60000</v>
      </c>
    </row>
    <row r="312" spans="1:15" ht="15" customHeight="1" x14ac:dyDescent="0.3">
      <c r="A312" s="6" t="s">
        <v>204</v>
      </c>
      <c r="B312" s="26">
        <f>RESULTAAT!B19+RESULTAAT!B24</f>
        <v>736523.2</v>
      </c>
      <c r="C312" s="26">
        <f>RESULTAAT!C19+RESULTAAT!C24</f>
        <v>771611.52</v>
      </c>
      <c r="D312" s="26">
        <f>RESULTAAT!D19+RESULTAAT!D24</f>
        <v>809040.64199999999</v>
      </c>
      <c r="F312" s="60">
        <v>2309</v>
      </c>
      <c r="G312" s="1">
        <v>-60000</v>
      </c>
      <c r="H312" s="1">
        <f>G312+36000-8000</f>
        <v>-32000</v>
      </c>
    </row>
    <row r="313" spans="1:15" ht="15" customHeight="1" x14ac:dyDescent="0.3">
      <c r="A313" s="6" t="s">
        <v>205</v>
      </c>
      <c r="B313" s="41">
        <f>B312*21%</f>
        <v>154669.87199999997</v>
      </c>
      <c r="C313" s="41">
        <f t="shared" ref="C313:D313" si="58">C312*21%</f>
        <v>162038.4192</v>
      </c>
      <c r="D313" s="41">
        <f t="shared" si="58"/>
        <v>169898.53482</v>
      </c>
      <c r="F313" s="60" t="s">
        <v>190</v>
      </c>
      <c r="G313" s="1">
        <f>G311+G312</f>
        <v>40000</v>
      </c>
      <c r="H313" s="1">
        <f>H311+H312</f>
        <v>8000</v>
      </c>
      <c r="I313" s="1">
        <f>H313-G313</f>
        <v>-32000</v>
      </c>
    </row>
    <row r="314" spans="1:15" ht="15" customHeight="1" x14ac:dyDescent="0.3">
      <c r="A314" s="187" t="s">
        <v>206</v>
      </c>
      <c r="B314" s="226">
        <f>(B311/(B312+B313))*365</f>
        <v>28.567042092086645</v>
      </c>
      <c r="C314" s="226">
        <f t="shared" ref="C314:D314" si="59">(C311/(C312+C313))*365</f>
        <v>28.63138139644191</v>
      </c>
      <c r="D314" s="226">
        <f t="shared" si="59"/>
        <v>28.672130546636591</v>
      </c>
      <c r="F314" s="60"/>
    </row>
    <row r="315" spans="1:15" x14ac:dyDescent="0.3">
      <c r="F315" s="60" t="s">
        <v>191</v>
      </c>
      <c r="G315" s="1" t="s">
        <v>171</v>
      </c>
      <c r="I315" s="1">
        <f>-I313</f>
        <v>32000</v>
      </c>
    </row>
    <row r="316" spans="1:15" x14ac:dyDescent="0.3">
      <c r="A316" s="185" t="s">
        <v>457</v>
      </c>
      <c r="B316" s="226">
        <f>B307-B314</f>
        <v>-4.6199521449966987</v>
      </c>
      <c r="C316" s="226">
        <f t="shared" ref="C316:D316" si="60">C307-C314</f>
        <v>-4.2980480631085776</v>
      </c>
      <c r="D316" s="226">
        <f t="shared" si="60"/>
        <v>-4.3387972133032591</v>
      </c>
      <c r="F316" s="60"/>
    </row>
    <row r="318" spans="1:15" ht="15.6" x14ac:dyDescent="0.3">
      <c r="A318" s="189" t="s">
        <v>345</v>
      </c>
    </row>
    <row r="320" spans="1:15" ht="15" customHeight="1" x14ac:dyDescent="0.3">
      <c r="A320" s="21"/>
      <c r="B320" s="105" t="str">
        <f>B294</f>
        <v>Jaar 1</v>
      </c>
      <c r="C320" s="105" t="str">
        <f t="shared" ref="C320:D320" si="61">C294</f>
        <v>Jaar 2</v>
      </c>
      <c r="D320" s="105" t="str">
        <f t="shared" si="61"/>
        <v>Jaar 3</v>
      </c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 spans="1:15" ht="15" customHeight="1" x14ac:dyDescent="0.3">
      <c r="A321" s="183" t="s">
        <v>348</v>
      </c>
      <c r="B321" s="199"/>
      <c r="C321" s="199"/>
      <c r="D321" s="199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 spans="1:15" ht="15" customHeight="1" x14ac:dyDescent="0.3">
      <c r="A322" s="183"/>
      <c r="B322" s="198"/>
      <c r="C322" s="198"/>
      <c r="D322" s="198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 spans="1:15" ht="15" customHeight="1" x14ac:dyDescent="0.3">
      <c r="A323" s="6" t="s">
        <v>213</v>
      </c>
      <c r="B323" s="43">
        <f>RESULTAAT!B7</f>
        <v>945000</v>
      </c>
      <c r="C323" s="43">
        <f>RESULTAAT!C7</f>
        <v>976500</v>
      </c>
      <c r="D323" s="43">
        <f>RESULTAAT!D7</f>
        <v>1025325</v>
      </c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</row>
    <row r="324" spans="1:15" ht="15" customHeight="1" x14ac:dyDescent="0.3">
      <c r="A324" s="6" t="s">
        <v>346</v>
      </c>
      <c r="B324" s="44">
        <f>B312</f>
        <v>736523.2</v>
      </c>
      <c r="C324" s="44">
        <f>C312</f>
        <v>771611.52</v>
      </c>
      <c r="D324" s="44">
        <f>D312</f>
        <v>809040.64199999999</v>
      </c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 spans="1:15" ht="15" customHeight="1" x14ac:dyDescent="0.3">
      <c r="A325" s="190" t="s">
        <v>214</v>
      </c>
      <c r="B325" s="147">
        <f>B323-B324</f>
        <v>208476.80000000005</v>
      </c>
      <c r="C325" s="147">
        <f t="shared" ref="C325:D325" si="62">C323-C324</f>
        <v>204888.47999999998</v>
      </c>
      <c r="D325" s="147">
        <f t="shared" si="62"/>
        <v>216284.35800000001</v>
      </c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</row>
    <row r="326" spans="1:15" ht="15" customHeight="1" x14ac:dyDescent="0.3">
      <c r="A326" s="135" t="s">
        <v>347</v>
      </c>
      <c r="B326" s="192">
        <f>B325/B323</f>
        <v>0.22061037037037043</v>
      </c>
      <c r="C326" s="192">
        <f t="shared" ref="C326:D326" si="63">C325/C323</f>
        <v>0.20981923195084484</v>
      </c>
      <c r="D326" s="192">
        <f t="shared" si="63"/>
        <v>0.21094224562943459</v>
      </c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</row>
    <row r="327" spans="1:15" ht="15" customHeight="1" x14ac:dyDescent="0.3">
      <c r="B327" s="80"/>
      <c r="C327" s="80"/>
      <c r="D327" s="80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</row>
    <row r="328" spans="1:15" ht="15" customHeight="1" x14ac:dyDescent="0.3">
      <c r="A328" s="6" t="s">
        <v>383</v>
      </c>
      <c r="B328" s="80"/>
      <c r="C328" s="80"/>
      <c r="D328" s="80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</row>
    <row r="329" spans="1:15" ht="8.25" customHeight="1" x14ac:dyDescent="0.3">
      <c r="B329" s="80"/>
      <c r="C329" s="80"/>
      <c r="D329" s="80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 spans="1:15" ht="15" customHeight="1" x14ac:dyDescent="0.3">
      <c r="A330" s="7" t="s">
        <v>380</v>
      </c>
      <c r="B330" s="38">
        <f>RESULTAAT!B26</f>
        <v>86195.631999999998</v>
      </c>
      <c r="C330" s="38">
        <f>RESULTAAT!C26</f>
        <v>87919.544639999993</v>
      </c>
      <c r="D330" s="38">
        <f>RESULTAAT!D26</f>
        <v>89677.935532800009</v>
      </c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 spans="1:15" ht="15" customHeight="1" x14ac:dyDescent="0.3">
      <c r="A331" s="7"/>
      <c r="B331" s="191">
        <f>B330/B325</f>
        <v>0.41345431242229341</v>
      </c>
      <c r="C331" s="191">
        <f t="shared" ref="C331:D331" si="64">C330/C325</f>
        <v>0.42910926295124058</v>
      </c>
      <c r="D331" s="191">
        <f t="shared" si="64"/>
        <v>0.4146297788802647</v>
      </c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 spans="1:15" ht="15" customHeight="1" x14ac:dyDescent="0.3">
      <c r="A332" s="7" t="s">
        <v>381</v>
      </c>
      <c r="B332" s="26">
        <f>RESULTAAT!B28</f>
        <v>42000</v>
      </c>
      <c r="C332" s="26">
        <f>RESULTAAT!C28</f>
        <v>42000</v>
      </c>
      <c r="D332" s="26">
        <f>RESULTAAT!D28</f>
        <v>42000</v>
      </c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 spans="1:15" ht="15" customHeight="1" x14ac:dyDescent="0.3">
      <c r="A333" s="7"/>
      <c r="B333" s="191">
        <f>B332/B325</f>
        <v>0.20146126571397868</v>
      </c>
      <c r="C333" s="191">
        <f t="shared" ref="C333:D333" si="65">C332/C325</f>
        <v>0.20498956310281574</v>
      </c>
      <c r="D333" s="191">
        <f t="shared" si="65"/>
        <v>0.1941888002830052</v>
      </c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 spans="1:15" ht="15" customHeight="1" x14ac:dyDescent="0.3">
      <c r="A334" s="7" t="s">
        <v>382</v>
      </c>
      <c r="B334" s="26">
        <f>RESULTAAT!B45</f>
        <v>12981.469410886984</v>
      </c>
      <c r="C334" s="26">
        <f>RESULTAAT!C45</f>
        <v>11925.827439313314</v>
      </c>
      <c r="D334" s="26">
        <f>RESULTAAT!D45</f>
        <v>10777.785173661705</v>
      </c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 spans="1:15" ht="15" customHeight="1" x14ac:dyDescent="0.3">
      <c r="A335" s="7"/>
      <c r="B335" s="191">
        <f>B334/B325</f>
        <v>6.2268172817728312E-2</v>
      </c>
      <c r="C335" s="191">
        <f t="shared" ref="C335:D335" si="66">C334/C325</f>
        <v>5.8206432295819246E-2</v>
      </c>
      <c r="D335" s="191">
        <f t="shared" si="66"/>
        <v>4.9831551728126845E-2</v>
      </c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 spans="1:15" ht="15" customHeight="1" x14ac:dyDescent="0.3">
      <c r="A336" s="7" t="s">
        <v>24</v>
      </c>
      <c r="B336" s="26">
        <f>RESULTAAT!B52</f>
        <v>15649.924647278269</v>
      </c>
      <c r="C336" s="26">
        <f>RESULTAAT!C52</f>
        <v>14550.526980171671</v>
      </c>
      <c r="D336" s="26">
        <f>RESULTAAT!D52</f>
        <v>17210.601823384572</v>
      </c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 spans="1:15" ht="15" customHeight="1" x14ac:dyDescent="0.3">
      <c r="A337" s="7"/>
      <c r="B337" s="191">
        <f>B336/B325</f>
        <v>7.5067943518311225E-2</v>
      </c>
      <c r="C337" s="191">
        <f t="shared" ref="C337:D337" si="67">C336/C325</f>
        <v>7.1016813537645815E-2</v>
      </c>
      <c r="D337" s="191">
        <f t="shared" si="67"/>
        <v>7.9573955243608371E-2</v>
      </c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 spans="1:15" ht="15" customHeight="1" x14ac:dyDescent="0.3">
      <c r="B338" s="80"/>
      <c r="C338" s="80"/>
      <c r="D338" s="80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 spans="1:15" ht="15" customHeight="1" x14ac:dyDescent="0.3">
      <c r="B339" s="5"/>
      <c r="C339" s="5"/>
      <c r="D339" s="5"/>
    </row>
    <row r="340" spans="1:15" ht="15" customHeight="1" x14ac:dyDescent="0.3">
      <c r="A340" s="6" t="s">
        <v>349</v>
      </c>
      <c r="B340" s="43">
        <f>'INVEST TABEL'!C12</f>
        <v>300000</v>
      </c>
      <c r="C340" s="43">
        <f>'INVEST TABEL'!C17</f>
        <v>25000</v>
      </c>
      <c r="D340" s="43"/>
    </row>
    <row r="341" spans="1:15" ht="15" customHeight="1" x14ac:dyDescent="0.3">
      <c r="A341" s="135" t="s">
        <v>350</v>
      </c>
      <c r="B341" s="191">
        <f>B340/B325</f>
        <v>1.4390090408141334</v>
      </c>
      <c r="C341" s="191">
        <f t="shared" ref="C341:D341" si="68">C340/C325</f>
        <v>0.12201759708500938</v>
      </c>
      <c r="D341" s="191">
        <f t="shared" si="68"/>
        <v>0</v>
      </c>
    </row>
    <row r="342" spans="1:15" ht="15" customHeight="1" x14ac:dyDescent="0.3">
      <c r="B342" s="5"/>
      <c r="C342" s="5"/>
      <c r="D342" s="5"/>
    </row>
    <row r="343" spans="1:15" ht="15" customHeight="1" x14ac:dyDescent="0.3">
      <c r="A343" s="183" t="s">
        <v>352</v>
      </c>
      <c r="B343" s="5"/>
      <c r="C343" s="5"/>
      <c r="D343" s="5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 spans="1:15" x14ac:dyDescent="0.3">
      <c r="B344" s="80"/>
      <c r="C344" s="80"/>
      <c r="D344" s="80"/>
    </row>
    <row r="345" spans="1:15" ht="15" customHeight="1" x14ac:dyDescent="0.3">
      <c r="A345" s="6" t="s">
        <v>354</v>
      </c>
      <c r="B345" s="38">
        <f>B227</f>
        <v>136949.77394183481</v>
      </c>
      <c r="C345" s="38">
        <f>C227</f>
        <v>180601.35488234981</v>
      </c>
      <c r="D345" s="38">
        <f>D227</f>
        <v>232233.16035250353</v>
      </c>
    </row>
    <row r="346" spans="1:15" ht="15" customHeight="1" x14ac:dyDescent="0.3">
      <c r="A346" s="6" t="s">
        <v>355</v>
      </c>
      <c r="B346" s="26">
        <f>PASSIVA!B58</f>
        <v>473829.70997399476</v>
      </c>
      <c r="C346" s="26">
        <f>PASSIVA!D58</f>
        <v>497429.99374925613</v>
      </c>
      <c r="D346" s="26">
        <f>PASSIVA!F58</f>
        <v>531796.30729882407</v>
      </c>
    </row>
    <row r="347" spans="1:15" ht="15" customHeight="1" x14ac:dyDescent="0.3">
      <c r="A347" s="6" t="s">
        <v>356</v>
      </c>
      <c r="B347" s="26">
        <f>B270</f>
        <v>12981.469410886984</v>
      </c>
      <c r="C347" s="26">
        <f>C270</f>
        <v>11925.827439313314</v>
      </c>
      <c r="D347" s="26">
        <f>D270</f>
        <v>10777.785173661705</v>
      </c>
    </row>
    <row r="348" spans="1:15" ht="15" customHeight="1" x14ac:dyDescent="0.3">
      <c r="A348" s="6" t="s">
        <v>367</v>
      </c>
      <c r="B348" s="26">
        <f>RESULTAAT!B59</f>
        <v>46949.773941834806</v>
      </c>
      <c r="C348" s="26">
        <f>RESULTAAT!C59</f>
        <v>43651.580940515014</v>
      </c>
      <c r="D348" s="26">
        <f>RESULTAAT!D59</f>
        <v>51631.805470153718</v>
      </c>
    </row>
    <row r="349" spans="1:15" ht="15" customHeight="1" x14ac:dyDescent="0.3">
      <c r="A349" s="6" t="s">
        <v>357</v>
      </c>
      <c r="B349" s="41">
        <f>RESULTAAT!B48</f>
        <v>62599.698589113075</v>
      </c>
      <c r="C349" s="41">
        <f>RESULTAAT!C48</f>
        <v>58202.107920686685</v>
      </c>
      <c r="D349" s="41">
        <f>RESULTAAT!D48</f>
        <v>68842.407293538286</v>
      </c>
    </row>
    <row r="350" spans="1:15" ht="15" customHeight="1" x14ac:dyDescent="0.3">
      <c r="A350" s="190" t="s">
        <v>358</v>
      </c>
      <c r="B350" s="191">
        <f>B348/B345</f>
        <v>0.34282476407573537</v>
      </c>
      <c r="C350" s="191">
        <f t="shared" ref="C350:D350" si="69">C348/C345</f>
        <v>0.24170129271151491</v>
      </c>
      <c r="D350" s="191">
        <f t="shared" si="69"/>
        <v>0.2223274462259503</v>
      </c>
    </row>
    <row r="351" spans="1:15" ht="15" customHeight="1" x14ac:dyDescent="0.3">
      <c r="A351" s="168" t="s">
        <v>359</v>
      </c>
      <c r="B351" s="192">
        <f>(B349+B347)/B346</f>
        <v>0.15951124720344825</v>
      </c>
      <c r="C351" s="192">
        <f t="shared" ref="C351:D351" si="70">(C349+C347)/C346</f>
        <v>0.14098051231576922</v>
      </c>
      <c r="D351" s="192">
        <f t="shared" si="70"/>
        <v>0.14971934060922359</v>
      </c>
    </row>
    <row r="352" spans="1:15" ht="15" customHeight="1" x14ac:dyDescent="0.3">
      <c r="B352" s="80"/>
      <c r="C352" s="80"/>
      <c r="D352" s="80"/>
    </row>
    <row r="353" spans="1:15" ht="15" customHeight="1" x14ac:dyDescent="0.3">
      <c r="A353" s="6" t="s">
        <v>486</v>
      </c>
      <c r="B353" s="5"/>
      <c r="C353" s="38">
        <f>B276</f>
        <v>85651.580940515007</v>
      </c>
      <c r="D353" s="62">
        <f>C276</f>
        <v>93631.805470153718</v>
      </c>
    </row>
    <row r="354" spans="1:15" ht="15" customHeight="1" x14ac:dyDescent="0.3">
      <c r="A354" s="6" t="s">
        <v>479</v>
      </c>
      <c r="B354" s="5"/>
      <c r="C354" s="41">
        <f>C345</f>
        <v>180601.35488234981</v>
      </c>
      <c r="D354" s="67">
        <f>D345</f>
        <v>232233.16035250353</v>
      </c>
    </row>
    <row r="355" spans="1:15" ht="15" customHeight="1" x14ac:dyDescent="0.3">
      <c r="A355" s="135" t="s">
        <v>480</v>
      </c>
      <c r="B355" s="147"/>
      <c r="C355" s="191">
        <f>C353/C354</f>
        <v>0.47425768758108994</v>
      </c>
      <c r="D355" s="191">
        <f>D353/D354</f>
        <v>0.40318017172065901</v>
      </c>
    </row>
    <row r="356" spans="1:15" ht="15" customHeight="1" x14ac:dyDescent="0.3">
      <c r="B356" s="80"/>
      <c r="C356" s="80"/>
      <c r="D356" s="80"/>
    </row>
    <row r="357" spans="1:15" ht="15" customHeight="1" x14ac:dyDescent="0.3">
      <c r="A357" s="183" t="s">
        <v>364</v>
      </c>
      <c r="B357" s="80"/>
      <c r="C357" s="80"/>
      <c r="D357" s="80"/>
    </row>
    <row r="358" spans="1:15" ht="15" customHeight="1" x14ac:dyDescent="0.3">
      <c r="B358" s="5"/>
      <c r="C358" s="5"/>
      <c r="D358" s="5"/>
    </row>
    <row r="359" spans="1:15" ht="15" customHeight="1" x14ac:dyDescent="0.3">
      <c r="A359" s="6" t="str">
        <f>A350</f>
        <v>Nettorendabilteit Eigen vermogen</v>
      </c>
      <c r="B359" s="43">
        <f>(B349/B345)*100</f>
        <v>45.70996854343138</v>
      </c>
      <c r="C359" s="43">
        <f>(C349/C345)*100</f>
        <v>32.226839028201987</v>
      </c>
      <c r="D359" s="47">
        <f>(D349/D345)*100</f>
        <v>29.643659496793369</v>
      </c>
    </row>
    <row r="360" spans="1:15" ht="15" customHeight="1" x14ac:dyDescent="0.3">
      <c r="A360" s="6" t="s">
        <v>484</v>
      </c>
      <c r="B360" s="28">
        <f>(RESULTAAT!B40/ACTIVA!B44)*100</f>
        <v>15.951124720344827</v>
      </c>
      <c r="C360" s="28">
        <f>(RESULTAAT!C40/ACTIVA!D44)*100</f>
        <v>14.098051231576925</v>
      </c>
      <c r="D360" s="40">
        <f>(RESULTAAT!D40/ACTIVA!F44)*100</f>
        <v>14.971934060922365</v>
      </c>
    </row>
    <row r="361" spans="1:15" ht="15" customHeight="1" x14ac:dyDescent="0.3">
      <c r="A361" s="190" t="s">
        <v>365</v>
      </c>
      <c r="B361" s="147">
        <f>B359/B360</f>
        <v>2.8656266780442574</v>
      </c>
      <c r="C361" s="147">
        <f t="shared" ref="C361:D361" si="71">C359/C360</f>
        <v>2.2859073568990911</v>
      </c>
      <c r="D361" s="200">
        <f t="shared" si="71"/>
        <v>1.9799485741902294</v>
      </c>
    </row>
    <row r="362" spans="1:15" ht="15" customHeight="1" x14ac:dyDescent="0.3">
      <c r="B362" s="5"/>
      <c r="C362" s="5"/>
      <c r="D362" s="5"/>
    </row>
    <row r="363" spans="1:15" ht="15" customHeight="1" x14ac:dyDescent="0.3">
      <c r="A363" s="6" t="s">
        <v>129</v>
      </c>
      <c r="B363" s="38">
        <f>RESULTAAT!B40</f>
        <v>75581.168000000063</v>
      </c>
      <c r="C363" s="38">
        <f>RESULTAAT!C40</f>
        <v>70127.935360000003</v>
      </c>
      <c r="D363" s="38">
        <f>RESULTAAT!D40</f>
        <v>79620.192467199988</v>
      </c>
    </row>
    <row r="364" spans="1:15" ht="15" customHeight="1" x14ac:dyDescent="0.3">
      <c r="A364" s="6" t="s">
        <v>485</v>
      </c>
      <c r="B364" s="26">
        <f>RESULTAAT!B48</f>
        <v>62599.698589113075</v>
      </c>
      <c r="C364" s="41">
        <f>RESULTAAT!C48</f>
        <v>58202.107920686685</v>
      </c>
      <c r="D364" s="41">
        <f>RESULTAAT!D48</f>
        <v>68842.407293538286</v>
      </c>
    </row>
    <row r="365" spans="1:15" ht="15" customHeight="1" x14ac:dyDescent="0.3">
      <c r="A365" s="135" t="s">
        <v>458</v>
      </c>
      <c r="B365" s="147">
        <f>B363/B364</f>
        <v>1.2073727143016091</v>
      </c>
      <c r="C365" s="147">
        <f t="shared" ref="C365:D365" si="72">C363/C364</f>
        <v>1.2049037030680214</v>
      </c>
      <c r="D365" s="147">
        <f t="shared" si="72"/>
        <v>1.1565573546506898</v>
      </c>
    </row>
    <row r="366" spans="1:15" x14ac:dyDescent="0.3">
      <c r="A366" s="10"/>
      <c r="B366" s="20"/>
      <c r="C366" s="20"/>
      <c r="D366" s="20"/>
    </row>
    <row r="367" spans="1:15" ht="15" customHeight="1" x14ac:dyDescent="0.3">
      <c r="A367" s="183" t="s">
        <v>351</v>
      </c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9" spans="1:15" ht="15" customHeight="1" x14ac:dyDescent="0.3">
      <c r="A369" s="6" t="s">
        <v>360</v>
      </c>
      <c r="B369" s="38">
        <f>RESULTAAT!B42+RESULTAAT!B29+RESULTAAT!B30</f>
        <v>117581.16800000006</v>
      </c>
      <c r="C369" s="38">
        <f>RESULTAAT!C42+RESULTAAT!C29+RESULTAAT!C30</f>
        <v>112127.93536</v>
      </c>
      <c r="D369" s="38">
        <f>RESULTAAT!D42+RESULTAAT!D29+RESULTAAT!D30</f>
        <v>121620.19246719999</v>
      </c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 spans="1:15" ht="15" customHeight="1" x14ac:dyDescent="0.3">
      <c r="A370" s="6" t="s">
        <v>361</v>
      </c>
      <c r="B370" s="26">
        <f>RESULTAAT!B8</f>
        <v>930000</v>
      </c>
      <c r="C370" s="26">
        <f>RESULTAAT!C8</f>
        <v>976500</v>
      </c>
      <c r="D370" s="26">
        <f>RESULTAAT!D8</f>
        <v>1025325</v>
      </c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 spans="1:15" ht="15" customHeight="1" x14ac:dyDescent="0.3">
      <c r="A371" s="135" t="s">
        <v>209</v>
      </c>
      <c r="B371" s="191">
        <f>B369/B370</f>
        <v>0.12643136344086028</v>
      </c>
      <c r="C371" s="191">
        <f t="shared" ref="C371:D371" si="73">C369/C370</f>
        <v>0.1148263546953405</v>
      </c>
      <c r="D371" s="191">
        <f t="shared" si="73"/>
        <v>0.11861623628332479</v>
      </c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1:15" ht="15" customHeight="1" x14ac:dyDescent="0.3">
      <c r="A372" s="135" t="s">
        <v>353</v>
      </c>
      <c r="B372" s="191">
        <f>RESULTAAT!B42/'FIN ANALYSE'!B370</f>
        <v>8.1270073118279634E-2</v>
      </c>
      <c r="C372" s="191">
        <f>RESULTAAT!C42/'FIN ANALYSE'!C370</f>
        <v>7.1815602007168466E-2</v>
      </c>
      <c r="D372" s="191">
        <f>RESULTAAT!D42/'FIN ANALYSE'!D370</f>
        <v>7.7653614675541896E-2</v>
      </c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 spans="1:15" ht="15" customHeight="1" x14ac:dyDescent="0.3">
      <c r="A373" s="10"/>
      <c r="B373" s="80"/>
      <c r="C373" s="80"/>
      <c r="D373" s="80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 spans="1:15" ht="15" customHeight="1" x14ac:dyDescent="0.3">
      <c r="A374" s="6" t="s">
        <v>213</v>
      </c>
      <c r="B374" s="38">
        <f>RESULTAAT!B7</f>
        <v>945000</v>
      </c>
      <c r="C374" s="38">
        <f>RESULTAAT!C7</f>
        <v>976500</v>
      </c>
      <c r="D374" s="62">
        <f>RESULTAAT!D7</f>
        <v>1025325</v>
      </c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 spans="1:15" ht="15" customHeight="1" x14ac:dyDescent="0.3">
      <c r="A375" s="6" t="s">
        <v>362</v>
      </c>
      <c r="B375" s="26" t="e">
        <f>'OMZET en BREAK EVEN'!F26</f>
        <v>#REF!</v>
      </c>
      <c r="C375" s="26">
        <f>(RESULTAAT!C$17+RESULTAAT!C$45+RESULTAAT!C$52)*31%</f>
        <v>289183.00990844035</v>
      </c>
      <c r="D375" s="33">
        <f>(RESULTAAT!D$52+RESULTAAT!D$45+RESULTAAT!D$17)*31%</f>
        <v>301844.89030425233</v>
      </c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 spans="1:15" ht="15" customHeight="1" x14ac:dyDescent="0.3">
      <c r="A376" s="6" t="s">
        <v>363</v>
      </c>
      <c r="B376" s="26" t="e">
        <f>'OMZET en BREAK EVEN'!E26</f>
        <v>#REF!</v>
      </c>
      <c r="C376" s="26">
        <f>(RESULTAAT!C$17+RESULTAAT!C$45+RESULTAAT!C$52)*69%</f>
        <v>643665.40915104456</v>
      </c>
      <c r="D376" s="33">
        <f>(RESULTAAT!D$52+RESULTAAT!D$45+RESULTAAT!D$17)*69%</f>
        <v>671848.30422559392</v>
      </c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 spans="1:15" ht="15" customHeight="1" x14ac:dyDescent="0.3">
      <c r="A377" s="190" t="s">
        <v>481</v>
      </c>
      <c r="B377" s="147" t="e">
        <f>(B374-B375)/(B374-B375-B376)</f>
        <v>#REF!</v>
      </c>
      <c r="C377" s="147">
        <f t="shared" ref="C377:D377" si="74">(C374-C375)/(C374-C375-C376)</f>
        <v>15.745523421664378</v>
      </c>
      <c r="D377" s="200">
        <f t="shared" si="74"/>
        <v>14.012295388623615</v>
      </c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 spans="1:15" ht="15" customHeight="1" x14ac:dyDescent="0.3">
      <c r="B378" s="5"/>
      <c r="C378" s="5"/>
      <c r="D378" s="5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 spans="1:15" ht="15" customHeight="1" x14ac:dyDescent="0.3">
      <c r="A379" s="183" t="s">
        <v>366</v>
      </c>
      <c r="B379" s="5"/>
      <c r="C379" s="5"/>
      <c r="D379" s="5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</row>
    <row r="381" spans="1:15" ht="15" customHeight="1" x14ac:dyDescent="0.3">
      <c r="A381" s="6" t="s">
        <v>210</v>
      </c>
      <c r="B381" s="38">
        <f>RESULTAAT!B42+RESULTAAT!B37-RESULTAAT!B15</f>
        <v>75581.168000000063</v>
      </c>
      <c r="C381" s="38">
        <f>RESULTAAT!C42+RESULTAAT!C37-RESULTAAT!C15</f>
        <v>70127.935360000003</v>
      </c>
      <c r="D381" s="38">
        <f>RESULTAAT!D42+RESULTAAT!D37-RESULTAAT!D15</f>
        <v>79620.192467199988</v>
      </c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 spans="1:15" ht="15" customHeight="1" x14ac:dyDescent="0.3">
      <c r="A382" s="6" t="s">
        <v>211</v>
      </c>
      <c r="B382" s="26">
        <f>RESULTAAT!B28</f>
        <v>42000</v>
      </c>
      <c r="C382" s="26">
        <f>RESULTAAT!C28</f>
        <v>42000</v>
      </c>
      <c r="D382" s="26">
        <f>RESULTAAT!D28</f>
        <v>42000</v>
      </c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 spans="1:15" ht="15" customHeight="1" x14ac:dyDescent="0.3">
      <c r="A383" s="6" t="s">
        <v>208</v>
      </c>
      <c r="B383" s="26">
        <f>B370</f>
        <v>930000</v>
      </c>
      <c r="C383" s="26">
        <f>C370</f>
        <v>976500</v>
      </c>
      <c r="D383" s="26">
        <f>D370</f>
        <v>1025325</v>
      </c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 spans="1:15" ht="15" customHeight="1" x14ac:dyDescent="0.3">
      <c r="A384" s="6" t="s">
        <v>212</v>
      </c>
      <c r="B384" s="26">
        <f>ACTIVA!B30+ACTIVA!B34+ACTIVA!B42</f>
        <v>62000</v>
      </c>
      <c r="C384" s="26">
        <f>ACTIVA!D30+ACTIVA!D34+ACTIVA!D42</f>
        <v>65100</v>
      </c>
      <c r="D384" s="26">
        <f>ACTIVA!F30+ACTIVA!F34+ACTIVA!F42</f>
        <v>68355</v>
      </c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 spans="1:15" ht="15" customHeight="1" x14ac:dyDescent="0.3">
      <c r="A385" s="135" t="s">
        <v>368</v>
      </c>
      <c r="B385" s="191">
        <f>((B381+B382)/B384)</f>
        <v>1.8964704516129043</v>
      </c>
      <c r="C385" s="191">
        <f t="shared" ref="C385:D385" si="75">((C381+C382)/C384)</f>
        <v>1.7223953204301077</v>
      </c>
      <c r="D385" s="191">
        <f t="shared" si="75"/>
        <v>1.7792435442498717</v>
      </c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 spans="1:15" x14ac:dyDescent="0.3">
      <c r="A386" s="135" t="s">
        <v>369</v>
      </c>
      <c r="B386" s="147">
        <f>B383/B384</f>
        <v>15</v>
      </c>
      <c r="C386" s="147">
        <f t="shared" ref="C386:D386" si="76">C383/C384</f>
        <v>15</v>
      </c>
      <c r="D386" s="147">
        <f t="shared" si="76"/>
        <v>15</v>
      </c>
    </row>
    <row r="388" spans="1:15" ht="15.6" x14ac:dyDescent="0.3">
      <c r="A388" s="183" t="s">
        <v>459</v>
      </c>
    </row>
    <row r="390" spans="1:15" x14ac:dyDescent="0.3">
      <c r="A390" s="6" t="s">
        <v>460</v>
      </c>
      <c r="B390" s="38">
        <f>RESULTAAT!B41</f>
        <v>117581.16800000006</v>
      </c>
      <c r="C390" s="38">
        <f>RESULTAAT!C41</f>
        <v>112127.93536</v>
      </c>
      <c r="D390" s="38">
        <f>RESULTAAT!D41</f>
        <v>121620.19246719999</v>
      </c>
    </row>
    <row r="391" spans="1:15" x14ac:dyDescent="0.3">
      <c r="A391" s="6" t="s">
        <v>461</v>
      </c>
      <c r="B391" s="26">
        <f>ACTIVA!B44</f>
        <v>473829.70997399464</v>
      </c>
      <c r="C391" s="26">
        <f>ACTIVA!D44</f>
        <v>497429.99374925601</v>
      </c>
      <c r="D391" s="26">
        <f>ACTIVA!F44</f>
        <v>531796.30729882396</v>
      </c>
    </row>
    <row r="392" spans="1:15" x14ac:dyDescent="0.3">
      <c r="A392" s="6" t="s">
        <v>488</v>
      </c>
      <c r="B392" s="41">
        <f>RESULTAAT!B42</f>
        <v>75581.168000000063</v>
      </c>
      <c r="C392" s="41">
        <f>RESULTAAT!C42</f>
        <v>70127.935360000003</v>
      </c>
      <c r="D392" s="41">
        <f>RESULTAAT!D42</f>
        <v>79620.192467199988</v>
      </c>
    </row>
    <row r="393" spans="1:15" x14ac:dyDescent="0.3">
      <c r="A393" s="135" t="s">
        <v>462</v>
      </c>
      <c r="B393" s="191">
        <f>B390/B391</f>
        <v>0.24815068689224512</v>
      </c>
      <c r="C393" s="191">
        <f t="shared" ref="C393" si="77">C390/C391</f>
        <v>0.22541450408903435</v>
      </c>
      <c r="D393" s="191">
        <f>D390/D391</f>
        <v>0.2286969480569557</v>
      </c>
    </row>
    <row r="394" spans="1:15" x14ac:dyDescent="0.3">
      <c r="A394" s="135" t="s">
        <v>463</v>
      </c>
      <c r="B394" s="192">
        <f>B392/B391</f>
        <v>0.15951124720344828</v>
      </c>
      <c r="C394" s="192">
        <f>C392/C391</f>
        <v>0.14098051231576925</v>
      </c>
      <c r="D394" s="192">
        <f>D392/D391</f>
        <v>0.14971934060922365</v>
      </c>
    </row>
  </sheetData>
  <mergeCells count="2">
    <mergeCell ref="B81:D81"/>
    <mergeCell ref="B70:D70"/>
  </mergeCells>
  <pageMargins left="0.7" right="0.7" top="0.75" bottom="0.75" header="0.3" footer="0.3"/>
  <pageSetup paperSize="9" orientation="portrait" r:id="rId1"/>
  <rowBreaks count="4" manualBreakCount="4">
    <brk id="170" max="16383" man="1"/>
    <brk id="278" max="16383" man="1"/>
    <brk id="314" max="16383" man="1"/>
    <brk id="36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62"/>
  <sheetViews>
    <sheetView topLeftCell="A13" workbookViewId="0">
      <selection activeCell="F24" sqref="F24"/>
    </sheetView>
  </sheetViews>
  <sheetFormatPr defaultColWidth="9.21875" defaultRowHeight="12" x14ac:dyDescent="0.25"/>
  <cols>
    <col min="1" max="1" width="26.5546875" style="64" customWidth="1"/>
    <col min="2" max="14" width="11.77734375" style="2" customWidth="1"/>
    <col min="15" max="15" width="9.77734375" style="2" bestFit="1" customWidth="1"/>
    <col min="16" max="16384" width="9.21875" style="64"/>
  </cols>
  <sheetData>
    <row r="1" spans="1:15" x14ac:dyDescent="0.25">
      <c r="A1" s="63" t="str">
        <f>PASSIVA!A1</f>
        <v>VDO</v>
      </c>
    </row>
    <row r="2" spans="1:15" x14ac:dyDescent="0.25">
      <c r="A2" s="63" t="s">
        <v>123</v>
      </c>
    </row>
    <row r="3" spans="1:15" x14ac:dyDescent="0.25">
      <c r="A3" s="63"/>
    </row>
    <row r="4" spans="1:15" s="65" customFormat="1" ht="18" x14ac:dyDescent="0.35">
      <c r="A4" s="266" t="s">
        <v>96</v>
      </c>
      <c r="B4" s="42" t="s">
        <v>101</v>
      </c>
      <c r="C4" s="42" t="s">
        <v>102</v>
      </c>
      <c r="D4" s="42" t="s">
        <v>103</v>
      </c>
      <c r="E4" s="42" t="s">
        <v>104</v>
      </c>
      <c r="F4" s="42" t="s">
        <v>105</v>
      </c>
      <c r="G4" s="42" t="s">
        <v>106</v>
      </c>
      <c r="H4" s="42" t="s">
        <v>107</v>
      </c>
      <c r="I4" s="42" t="s">
        <v>108</v>
      </c>
      <c r="J4" s="42" t="s">
        <v>109</v>
      </c>
      <c r="K4" s="42" t="s">
        <v>110</v>
      </c>
      <c r="L4" s="42" t="s">
        <v>111</v>
      </c>
      <c r="M4" s="42" t="s">
        <v>112</v>
      </c>
      <c r="N4" s="42" t="s">
        <v>66</v>
      </c>
      <c r="O4" s="5"/>
    </row>
    <row r="5" spans="1:15" x14ac:dyDescent="0.25">
      <c r="A5" s="66" t="s">
        <v>113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</row>
    <row r="6" spans="1:15" x14ac:dyDescent="0.25">
      <c r="A6" s="33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</row>
    <row r="7" spans="1:15" x14ac:dyDescent="0.25">
      <c r="A7" s="33" t="str">
        <f>'FIN ANALYSE'!A72</f>
        <v>Inbreng</v>
      </c>
      <c r="B7" s="26">
        <f>'FIN ANALYSE'!B72</f>
        <v>90000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>
        <f>SUM(B7:M7)</f>
        <v>90000</v>
      </c>
    </row>
    <row r="8" spans="1:15" x14ac:dyDescent="0.25">
      <c r="A8" s="33" t="str">
        <f>'FIN ANALYSE'!A73</f>
        <v>Achtergestelde lening</v>
      </c>
      <c r="B8" s="26">
        <f>'FIN ANALYSE'!B73</f>
        <v>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>
        <f t="shared" ref="N8:N12" si="0">SUM(B8:M8)</f>
        <v>0</v>
      </c>
    </row>
    <row r="9" spans="1:15" x14ac:dyDescent="0.25">
      <c r="A9" s="33" t="str">
        <f>'FIN ANALYSE'!A74</f>
        <v>Handelsvorderingen bewerkingen</v>
      </c>
      <c r="B9" s="26"/>
      <c r="C9" s="26">
        <f>'FIN ANALYSE'!B74/11</f>
        <v>78909.090909090912</v>
      </c>
      <c r="D9" s="26">
        <f>C9</f>
        <v>78909.090909090912</v>
      </c>
      <c r="E9" s="26">
        <f t="shared" ref="E9:M9" si="1">D9</f>
        <v>78909.090909090912</v>
      </c>
      <c r="F9" s="26">
        <f t="shared" si="1"/>
        <v>78909.090909090912</v>
      </c>
      <c r="G9" s="26">
        <f t="shared" si="1"/>
        <v>78909.090909090912</v>
      </c>
      <c r="H9" s="26">
        <f t="shared" si="1"/>
        <v>78909.090909090912</v>
      </c>
      <c r="I9" s="26">
        <f t="shared" si="1"/>
        <v>78909.090909090912</v>
      </c>
      <c r="J9" s="26">
        <f t="shared" si="1"/>
        <v>78909.090909090912</v>
      </c>
      <c r="K9" s="26">
        <f t="shared" si="1"/>
        <v>78909.090909090912</v>
      </c>
      <c r="L9" s="26">
        <f t="shared" si="1"/>
        <v>78909.090909090912</v>
      </c>
      <c r="M9" s="26">
        <f t="shared" si="1"/>
        <v>78909.090909090912</v>
      </c>
      <c r="N9" s="26">
        <f t="shared" si="0"/>
        <v>868000.00000000023</v>
      </c>
    </row>
    <row r="10" spans="1:15" x14ac:dyDescent="0.25">
      <c r="A10" s="33" t="str">
        <f>'FIN ANALYSE'!A75</f>
        <v>Handelsvorderingen verkoop MVA</v>
      </c>
      <c r="B10" s="26"/>
      <c r="C10" s="26">
        <f>'FIN ANALYSE'!B75</f>
        <v>0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>
        <f t="shared" si="0"/>
        <v>0</v>
      </c>
    </row>
    <row r="11" spans="1:15" x14ac:dyDescent="0.25">
      <c r="A11" s="33" t="str">
        <f>'FIN ANALYSE'!A76</f>
        <v>Subsidies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</row>
    <row r="12" spans="1:15" x14ac:dyDescent="0.25">
      <c r="A12" s="33" t="str">
        <f>'FIN ANALYSE'!A77</f>
        <v>Financiële opbrengsten</v>
      </c>
      <c r="B12" s="26">
        <f>'FIN ANALYSE'!B76</f>
        <v>15000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>
        <f t="shared" si="0"/>
        <v>15000</v>
      </c>
    </row>
    <row r="13" spans="1:15" x14ac:dyDescent="0.25">
      <c r="A13" s="67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</row>
    <row r="14" spans="1:15" x14ac:dyDescent="0.25">
      <c r="A14" s="146" t="s">
        <v>28</v>
      </c>
      <c r="B14" s="146">
        <f>SUM(B7:B12)</f>
        <v>105000</v>
      </c>
      <c r="C14" s="146">
        <f t="shared" ref="C14:N14" si="2">SUM(C7:C12)</f>
        <v>78909.090909090912</v>
      </c>
      <c r="D14" s="146">
        <f t="shared" si="2"/>
        <v>78909.090909090912</v>
      </c>
      <c r="E14" s="146">
        <f t="shared" si="2"/>
        <v>78909.090909090912</v>
      </c>
      <c r="F14" s="146">
        <f t="shared" si="2"/>
        <v>78909.090909090912</v>
      </c>
      <c r="G14" s="146">
        <f t="shared" si="2"/>
        <v>78909.090909090912</v>
      </c>
      <c r="H14" s="146">
        <f t="shared" si="2"/>
        <v>78909.090909090912</v>
      </c>
      <c r="I14" s="146">
        <f t="shared" si="2"/>
        <v>78909.090909090912</v>
      </c>
      <c r="J14" s="146">
        <f t="shared" si="2"/>
        <v>78909.090909090912</v>
      </c>
      <c r="K14" s="146">
        <f t="shared" si="2"/>
        <v>78909.090909090912</v>
      </c>
      <c r="L14" s="146">
        <f t="shared" si="2"/>
        <v>78909.090909090912</v>
      </c>
      <c r="M14" s="146">
        <f t="shared" si="2"/>
        <v>78909.090909090912</v>
      </c>
      <c r="N14" s="146">
        <f t="shared" si="2"/>
        <v>973000.00000000023</v>
      </c>
    </row>
    <row r="15" spans="1:15" x14ac:dyDescent="0.25">
      <c r="A15" s="51"/>
    </row>
    <row r="16" spans="1:15" x14ac:dyDescent="0.25">
      <c r="A16" s="66" t="s">
        <v>114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</row>
    <row r="17" spans="1:14" x14ac:dyDescent="0.25">
      <c r="A17" s="33" t="str">
        <f>'FIN ANALYSE'!A82</f>
        <v>Lease machines aflossingen</v>
      </c>
      <c r="B17" s="26">
        <f>'FIN ANALYSE'!B82/12</f>
        <v>1627.4957083498502</v>
      </c>
      <c r="C17" s="26">
        <f>B17</f>
        <v>1627.4957083498502</v>
      </c>
      <c r="D17" s="26">
        <f t="shared" ref="D17:M17" si="3">C17</f>
        <v>1627.4957083498502</v>
      </c>
      <c r="E17" s="26">
        <f t="shared" si="3"/>
        <v>1627.4957083498502</v>
      </c>
      <c r="F17" s="26">
        <f t="shared" si="3"/>
        <v>1627.4957083498502</v>
      </c>
      <c r="G17" s="26">
        <f t="shared" si="3"/>
        <v>1627.4957083498502</v>
      </c>
      <c r="H17" s="26">
        <f t="shared" si="3"/>
        <v>1627.4957083498502</v>
      </c>
      <c r="I17" s="26">
        <f t="shared" si="3"/>
        <v>1627.4957083498502</v>
      </c>
      <c r="J17" s="26">
        <f t="shared" si="3"/>
        <v>1627.4957083498502</v>
      </c>
      <c r="K17" s="26">
        <f t="shared" si="3"/>
        <v>1627.4957083498502</v>
      </c>
      <c r="L17" s="26">
        <f t="shared" si="3"/>
        <v>1627.4957083498502</v>
      </c>
      <c r="M17" s="26">
        <f t="shared" si="3"/>
        <v>1627.4957083498502</v>
      </c>
      <c r="N17" s="26">
        <f>SUM(B17:M17)</f>
        <v>19529.948500198203</v>
      </c>
    </row>
    <row r="18" spans="1:14" x14ac:dyDescent="0.25">
      <c r="A18" s="33" t="str">
        <f>'FIN ANALYSE'!A83</f>
        <v>Betaling 10 % voorschot</v>
      </c>
      <c r="B18" s="26">
        <f>B8</f>
        <v>0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>
        <f>SUM(B18:M18)</f>
        <v>0</v>
      </c>
    </row>
    <row r="19" spans="1:14" x14ac:dyDescent="0.25">
      <c r="A19" s="33" t="str">
        <f>'FIN ANALYSE'!A84</f>
        <v>Investeringen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>
        <f t="shared" ref="N19:N27" si="4">SUM(B19:M19)</f>
        <v>0</v>
      </c>
    </row>
    <row r="20" spans="1:14" x14ac:dyDescent="0.25">
      <c r="A20" s="33" t="str">
        <f>'FIN ANALYSE'!A85</f>
        <v>Leveranciers goederen</v>
      </c>
      <c r="B20" s="26">
        <f>'FIN ANALYSE'!B85/12</f>
        <v>40687.5</v>
      </c>
      <c r="C20" s="26">
        <f>B20</f>
        <v>40687.5</v>
      </c>
      <c r="D20" s="26">
        <f t="shared" ref="D20:M20" si="5">C20</f>
        <v>40687.5</v>
      </c>
      <c r="E20" s="26">
        <f t="shared" si="5"/>
        <v>40687.5</v>
      </c>
      <c r="F20" s="26">
        <f t="shared" si="5"/>
        <v>40687.5</v>
      </c>
      <c r="G20" s="26">
        <f t="shared" si="5"/>
        <v>40687.5</v>
      </c>
      <c r="H20" s="26">
        <f t="shared" si="5"/>
        <v>40687.5</v>
      </c>
      <c r="I20" s="26">
        <f t="shared" si="5"/>
        <v>40687.5</v>
      </c>
      <c r="J20" s="26">
        <f t="shared" si="5"/>
        <v>40687.5</v>
      </c>
      <c r="K20" s="26">
        <f t="shared" si="5"/>
        <v>40687.5</v>
      </c>
      <c r="L20" s="26">
        <f t="shared" si="5"/>
        <v>40687.5</v>
      </c>
      <c r="M20" s="26">
        <f t="shared" si="5"/>
        <v>40687.5</v>
      </c>
      <c r="N20" s="26">
        <f t="shared" si="4"/>
        <v>488250</v>
      </c>
    </row>
    <row r="21" spans="1:14" x14ac:dyDescent="0.25">
      <c r="A21" s="2" t="e">
        <f>'FIN ANALYSE'!#REF!</f>
        <v>#REF!</v>
      </c>
      <c r="B21" s="26"/>
      <c r="C21" s="26">
        <f>'FIN ANALYSE'!B86/11</f>
        <v>16229.381818181819</v>
      </c>
      <c r="D21" s="26">
        <f>C21</f>
        <v>16229.381818181819</v>
      </c>
      <c r="E21" s="26">
        <f t="shared" ref="E21:M21" si="6">D21</f>
        <v>16229.381818181819</v>
      </c>
      <c r="F21" s="26">
        <f t="shared" si="6"/>
        <v>16229.381818181819</v>
      </c>
      <c r="G21" s="26">
        <f t="shared" si="6"/>
        <v>16229.381818181819</v>
      </c>
      <c r="H21" s="26">
        <f t="shared" si="6"/>
        <v>16229.381818181819</v>
      </c>
      <c r="I21" s="26">
        <f t="shared" si="6"/>
        <v>16229.381818181819</v>
      </c>
      <c r="J21" s="26">
        <f t="shared" si="6"/>
        <v>16229.381818181819</v>
      </c>
      <c r="K21" s="26">
        <f t="shared" si="6"/>
        <v>16229.381818181819</v>
      </c>
      <c r="L21" s="26">
        <f t="shared" si="6"/>
        <v>16229.381818181819</v>
      </c>
      <c r="M21" s="26">
        <f t="shared" si="6"/>
        <v>16229.381818181819</v>
      </c>
      <c r="N21" s="26">
        <f t="shared" si="4"/>
        <v>178523.19999999998</v>
      </c>
    </row>
    <row r="22" spans="1:14" x14ac:dyDescent="0.25">
      <c r="A22" s="33" t="s">
        <v>73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>
        <f t="shared" si="4"/>
        <v>0</v>
      </c>
    </row>
    <row r="23" spans="1:14" x14ac:dyDescent="0.25">
      <c r="A23" s="33" t="e">
        <f>'FIN ANALYSE'!#REF!</f>
        <v>#REF!</v>
      </c>
      <c r="B23" s="26"/>
      <c r="C23" s="26"/>
      <c r="D23" s="26"/>
      <c r="E23" s="26" t="e">
        <f>'FIN ANALYSE'!#REF!/3</f>
        <v>#REF!</v>
      </c>
      <c r="F23" s="26"/>
      <c r="G23" s="26"/>
      <c r="H23" s="26" t="e">
        <f>E23</f>
        <v>#REF!</v>
      </c>
      <c r="I23" s="26"/>
      <c r="J23" s="26"/>
      <c r="K23" s="26" t="e">
        <f>H23</f>
        <v>#REF!</v>
      </c>
      <c r="L23" s="26"/>
      <c r="M23" s="26"/>
      <c r="N23" s="26" t="e">
        <f t="shared" si="4"/>
        <v>#REF!</v>
      </c>
    </row>
    <row r="24" spans="1:14" x14ac:dyDescent="0.25">
      <c r="A24" s="33" t="str">
        <f>'FIN ANALYSE'!A87</f>
        <v>Bezoldigingen en Sociale lasten</v>
      </c>
      <c r="B24" s="26">
        <f>'FIN ANALYSE'!B87/12</f>
        <v>7182.9693333333335</v>
      </c>
      <c r="C24" s="26">
        <f>B24</f>
        <v>7182.9693333333335</v>
      </c>
      <c r="D24" s="26">
        <f t="shared" ref="D24:M24" si="7">C24</f>
        <v>7182.9693333333335</v>
      </c>
      <c r="E24" s="26">
        <f t="shared" si="7"/>
        <v>7182.9693333333335</v>
      </c>
      <c r="F24" s="26">
        <f t="shared" si="7"/>
        <v>7182.9693333333335</v>
      </c>
      <c r="G24" s="26">
        <f t="shared" si="7"/>
        <v>7182.9693333333335</v>
      </c>
      <c r="H24" s="26">
        <f t="shared" si="7"/>
        <v>7182.9693333333335</v>
      </c>
      <c r="I24" s="26">
        <f t="shared" si="7"/>
        <v>7182.9693333333335</v>
      </c>
      <c r="J24" s="26">
        <f t="shared" si="7"/>
        <v>7182.9693333333335</v>
      </c>
      <c r="K24" s="26">
        <f t="shared" si="7"/>
        <v>7182.9693333333335</v>
      </c>
      <c r="L24" s="26">
        <f t="shared" si="7"/>
        <v>7182.9693333333335</v>
      </c>
      <c r="M24" s="26">
        <f t="shared" si="7"/>
        <v>7182.9693333333335</v>
      </c>
      <c r="N24" s="26">
        <f t="shared" si="4"/>
        <v>86195.631999999983</v>
      </c>
    </row>
    <row r="25" spans="1:14" x14ac:dyDescent="0.25">
      <c r="A25" s="33" t="str">
        <f>'FIN ANALYSE'!A88</f>
        <v>Overige bedrijfskosten</v>
      </c>
      <c r="B25" s="26">
        <f>'FIN ANALYSE'!B88/12</f>
        <v>391.66666666666669</v>
      </c>
      <c r="C25" s="26">
        <f t="shared" ref="C25:M26" si="8">B25</f>
        <v>391.66666666666669</v>
      </c>
      <c r="D25" s="26">
        <f t="shared" si="8"/>
        <v>391.66666666666669</v>
      </c>
      <c r="E25" s="26">
        <f t="shared" si="8"/>
        <v>391.66666666666669</v>
      </c>
      <c r="F25" s="26">
        <f t="shared" si="8"/>
        <v>391.66666666666669</v>
      </c>
      <c r="G25" s="26">
        <f t="shared" si="8"/>
        <v>391.66666666666669</v>
      </c>
      <c r="H25" s="26">
        <f t="shared" si="8"/>
        <v>391.66666666666669</v>
      </c>
      <c r="I25" s="26">
        <f t="shared" si="8"/>
        <v>391.66666666666669</v>
      </c>
      <c r="J25" s="26">
        <f t="shared" si="8"/>
        <v>391.66666666666669</v>
      </c>
      <c r="K25" s="26">
        <f t="shared" si="8"/>
        <v>391.66666666666669</v>
      </c>
      <c r="L25" s="26">
        <f t="shared" si="8"/>
        <v>391.66666666666669</v>
      </c>
      <c r="M25" s="26">
        <f t="shared" si="8"/>
        <v>391.66666666666669</v>
      </c>
      <c r="N25" s="26">
        <f t="shared" si="4"/>
        <v>4700</v>
      </c>
    </row>
    <row r="26" spans="1:14" x14ac:dyDescent="0.25">
      <c r="A26" s="33" t="str">
        <f>'FIN ANALYSE'!A89</f>
        <v>Intresten</v>
      </c>
      <c r="B26" s="26">
        <f>'FIN ANALYSE'!B89/12</f>
        <v>997.62579381726164</v>
      </c>
      <c r="C26" s="26">
        <f t="shared" si="8"/>
        <v>997.62579381726164</v>
      </c>
      <c r="D26" s="26">
        <f t="shared" si="8"/>
        <v>997.62579381726164</v>
      </c>
      <c r="E26" s="26">
        <f t="shared" si="8"/>
        <v>997.62579381726164</v>
      </c>
      <c r="F26" s="26">
        <f t="shared" si="8"/>
        <v>997.62579381726164</v>
      </c>
      <c r="G26" s="26">
        <f t="shared" si="8"/>
        <v>997.62579381726164</v>
      </c>
      <c r="H26" s="26">
        <f t="shared" si="8"/>
        <v>997.62579381726164</v>
      </c>
      <c r="I26" s="26">
        <f t="shared" si="8"/>
        <v>997.62579381726164</v>
      </c>
      <c r="J26" s="26">
        <f t="shared" si="8"/>
        <v>997.62579381726164</v>
      </c>
      <c r="K26" s="26">
        <f t="shared" si="8"/>
        <v>997.62579381726164</v>
      </c>
      <c r="L26" s="26">
        <f t="shared" si="8"/>
        <v>997.62579381726164</v>
      </c>
      <c r="M26" s="26">
        <f t="shared" si="8"/>
        <v>997.62579381726164</v>
      </c>
      <c r="N26" s="26">
        <f t="shared" si="4"/>
        <v>11971.509525807143</v>
      </c>
    </row>
    <row r="27" spans="1:14" x14ac:dyDescent="0.25">
      <c r="A27" s="33" t="str">
        <f>'FIN ANALYSE'!A90</f>
        <v>Belastingen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>
        <f t="shared" si="4"/>
        <v>0</v>
      </c>
    </row>
    <row r="28" spans="1:14" x14ac:dyDescent="0.25">
      <c r="A28" s="67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</row>
    <row r="29" spans="1:14" x14ac:dyDescent="0.25">
      <c r="A29" s="146" t="s">
        <v>30</v>
      </c>
      <c r="B29" s="146">
        <f t="shared" ref="B29:N29" si="9">SUM(B17:B28)</f>
        <v>50887.257502167115</v>
      </c>
      <c r="C29" s="146">
        <f t="shared" si="9"/>
        <v>67116.639320348942</v>
      </c>
      <c r="D29" s="146">
        <f t="shared" si="9"/>
        <v>67116.639320348942</v>
      </c>
      <c r="E29" s="146" t="e">
        <f t="shared" si="9"/>
        <v>#REF!</v>
      </c>
      <c r="F29" s="146">
        <f t="shared" si="9"/>
        <v>67116.639320348942</v>
      </c>
      <c r="G29" s="146">
        <f t="shared" si="9"/>
        <v>67116.639320348942</v>
      </c>
      <c r="H29" s="146" t="e">
        <f t="shared" si="9"/>
        <v>#REF!</v>
      </c>
      <c r="I29" s="146">
        <f t="shared" si="9"/>
        <v>67116.639320348942</v>
      </c>
      <c r="J29" s="146">
        <f t="shared" si="9"/>
        <v>67116.639320348942</v>
      </c>
      <c r="K29" s="146" t="e">
        <f t="shared" si="9"/>
        <v>#REF!</v>
      </c>
      <c r="L29" s="146">
        <f t="shared" si="9"/>
        <v>67116.639320348942</v>
      </c>
      <c r="M29" s="146">
        <f t="shared" si="9"/>
        <v>67116.639320348942</v>
      </c>
      <c r="N29" s="146" t="e">
        <f t="shared" si="9"/>
        <v>#REF!</v>
      </c>
    </row>
    <row r="30" spans="1:14" x14ac:dyDescent="0.25">
      <c r="A30" s="54" t="s">
        <v>80</v>
      </c>
      <c r="B30" s="54">
        <f t="shared" ref="B30:N30" si="10">B14-B29</f>
        <v>54112.742497832885</v>
      </c>
      <c r="C30" s="54">
        <f t="shared" si="10"/>
        <v>11792.451588741969</v>
      </c>
      <c r="D30" s="54">
        <f t="shared" si="10"/>
        <v>11792.451588741969</v>
      </c>
      <c r="E30" s="54" t="e">
        <f t="shared" si="10"/>
        <v>#REF!</v>
      </c>
      <c r="F30" s="54">
        <f t="shared" si="10"/>
        <v>11792.451588741969</v>
      </c>
      <c r="G30" s="54">
        <f t="shared" si="10"/>
        <v>11792.451588741969</v>
      </c>
      <c r="H30" s="54" t="e">
        <f t="shared" si="10"/>
        <v>#REF!</v>
      </c>
      <c r="I30" s="54">
        <f t="shared" si="10"/>
        <v>11792.451588741969</v>
      </c>
      <c r="J30" s="54">
        <f t="shared" si="10"/>
        <v>11792.451588741969</v>
      </c>
      <c r="K30" s="54" t="e">
        <f t="shared" si="10"/>
        <v>#REF!</v>
      </c>
      <c r="L30" s="54">
        <f t="shared" si="10"/>
        <v>11792.451588741969</v>
      </c>
      <c r="M30" s="54">
        <f t="shared" si="10"/>
        <v>11792.451588741969</v>
      </c>
      <c r="N30" s="34" t="e">
        <f t="shared" si="10"/>
        <v>#REF!</v>
      </c>
    </row>
    <row r="31" spans="1:14" x14ac:dyDescent="0.25">
      <c r="A31" s="149" t="s">
        <v>115</v>
      </c>
      <c r="B31" s="150">
        <f>B30</f>
        <v>54112.742497832885</v>
      </c>
      <c r="C31" s="150">
        <f>B31+C30</f>
        <v>65905.194086574862</v>
      </c>
      <c r="D31" s="150">
        <f t="shared" ref="D31:M31" si="11">C31+D30</f>
        <v>77697.645675316831</v>
      </c>
      <c r="E31" s="150" t="e">
        <f t="shared" si="11"/>
        <v>#REF!</v>
      </c>
      <c r="F31" s="150" t="e">
        <f t="shared" si="11"/>
        <v>#REF!</v>
      </c>
      <c r="G31" s="150" t="e">
        <f t="shared" si="11"/>
        <v>#REF!</v>
      </c>
      <c r="H31" s="150" t="e">
        <f t="shared" si="11"/>
        <v>#REF!</v>
      </c>
      <c r="I31" s="150" t="e">
        <f t="shared" si="11"/>
        <v>#REF!</v>
      </c>
      <c r="J31" s="150" t="e">
        <f t="shared" si="11"/>
        <v>#REF!</v>
      </c>
      <c r="K31" s="150" t="e">
        <f t="shared" si="11"/>
        <v>#REF!</v>
      </c>
      <c r="L31" s="150" t="e">
        <f t="shared" si="11"/>
        <v>#REF!</v>
      </c>
      <c r="M31" s="151" t="e">
        <f t="shared" si="11"/>
        <v>#REF!</v>
      </c>
      <c r="N31" s="69"/>
    </row>
    <row r="34" spans="1:14" ht="18" x14ac:dyDescent="0.35">
      <c r="A34" s="266" t="s">
        <v>97</v>
      </c>
      <c r="B34" s="42" t="s">
        <v>101</v>
      </c>
      <c r="C34" s="42" t="s">
        <v>102</v>
      </c>
      <c r="D34" s="42" t="s">
        <v>103</v>
      </c>
      <c r="E34" s="42" t="s">
        <v>104</v>
      </c>
      <c r="F34" s="42" t="s">
        <v>105</v>
      </c>
      <c r="G34" s="42" t="s">
        <v>106</v>
      </c>
      <c r="H34" s="42" t="s">
        <v>107</v>
      </c>
      <c r="I34" s="42" t="s">
        <v>108</v>
      </c>
      <c r="J34" s="42" t="s">
        <v>109</v>
      </c>
      <c r="K34" s="42" t="s">
        <v>110</v>
      </c>
      <c r="L34" s="42" t="s">
        <v>111</v>
      </c>
      <c r="M34" s="42" t="s">
        <v>112</v>
      </c>
      <c r="N34" s="42" t="s">
        <v>66</v>
      </c>
    </row>
    <row r="35" spans="1:14" x14ac:dyDescent="0.25">
      <c r="A35" s="66" t="s">
        <v>113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</row>
    <row r="36" spans="1:14" x14ac:dyDescent="0.25">
      <c r="A36" s="33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1:14" x14ac:dyDescent="0.25">
      <c r="A37" s="33" t="str">
        <f t="shared" ref="A37:A42" si="12">A7</f>
        <v>Inbreng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>
        <f>SUM(B37:M37)</f>
        <v>0</v>
      </c>
    </row>
    <row r="38" spans="1:14" x14ac:dyDescent="0.25">
      <c r="A38" s="33" t="str">
        <f t="shared" si="12"/>
        <v>Achtergestelde lening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>
        <f t="shared" ref="N38:N42" si="13">SUM(B38:M38)</f>
        <v>0</v>
      </c>
    </row>
    <row r="39" spans="1:14" x14ac:dyDescent="0.25">
      <c r="A39" s="33" t="str">
        <f t="shared" si="12"/>
        <v>Handelsvorderingen bewerkingen</v>
      </c>
      <c r="B39" s="26">
        <f>M9</f>
        <v>78909.090909090912</v>
      </c>
      <c r="C39" s="26">
        <f>('FIN ANALYSE'!C74-'CASH FLOW MAAND'!B39)/11</f>
        <v>81317.35537190082</v>
      </c>
      <c r="D39" s="26">
        <f>C39</f>
        <v>81317.35537190082</v>
      </c>
      <c r="E39" s="26">
        <f t="shared" ref="E39:M39" si="14">D39</f>
        <v>81317.35537190082</v>
      </c>
      <c r="F39" s="26">
        <f t="shared" si="14"/>
        <v>81317.35537190082</v>
      </c>
      <c r="G39" s="26">
        <f t="shared" si="14"/>
        <v>81317.35537190082</v>
      </c>
      <c r="H39" s="26">
        <f t="shared" si="14"/>
        <v>81317.35537190082</v>
      </c>
      <c r="I39" s="26">
        <f t="shared" si="14"/>
        <v>81317.35537190082</v>
      </c>
      <c r="J39" s="26">
        <f t="shared" si="14"/>
        <v>81317.35537190082</v>
      </c>
      <c r="K39" s="26">
        <f t="shared" si="14"/>
        <v>81317.35537190082</v>
      </c>
      <c r="L39" s="26">
        <f t="shared" si="14"/>
        <v>81317.35537190082</v>
      </c>
      <c r="M39" s="26">
        <f t="shared" si="14"/>
        <v>81317.35537190082</v>
      </c>
      <c r="N39" s="26">
        <f t="shared" si="13"/>
        <v>973400</v>
      </c>
    </row>
    <row r="40" spans="1:14" x14ac:dyDescent="0.25">
      <c r="A40" s="33" t="str">
        <f t="shared" si="12"/>
        <v>Handelsvorderingen verkoop MVA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>
        <f t="shared" si="13"/>
        <v>0</v>
      </c>
    </row>
    <row r="41" spans="1:14" x14ac:dyDescent="0.25">
      <c r="A41" s="33" t="str">
        <f t="shared" si="12"/>
        <v>Subsidies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>
        <f t="shared" si="13"/>
        <v>0</v>
      </c>
    </row>
    <row r="42" spans="1:14" x14ac:dyDescent="0.25">
      <c r="A42" s="33" t="str">
        <f t="shared" si="12"/>
        <v>Financiële opbrengsten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>
        <f t="shared" si="13"/>
        <v>0</v>
      </c>
    </row>
    <row r="43" spans="1:14" x14ac:dyDescent="0.25">
      <c r="A43" s="67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146" t="s">
        <v>28</v>
      </c>
      <c r="B44" s="146">
        <f>SUM(B37:B42)</f>
        <v>78909.090909090912</v>
      </c>
      <c r="C44" s="146">
        <f t="shared" ref="C44:N44" si="15">SUM(C37:C42)</f>
        <v>81317.35537190082</v>
      </c>
      <c r="D44" s="146">
        <f t="shared" si="15"/>
        <v>81317.35537190082</v>
      </c>
      <c r="E44" s="146">
        <f t="shared" si="15"/>
        <v>81317.35537190082</v>
      </c>
      <c r="F44" s="146">
        <f t="shared" si="15"/>
        <v>81317.35537190082</v>
      </c>
      <c r="G44" s="146">
        <f t="shared" si="15"/>
        <v>81317.35537190082</v>
      </c>
      <c r="H44" s="146">
        <f t="shared" si="15"/>
        <v>81317.35537190082</v>
      </c>
      <c r="I44" s="146">
        <f t="shared" si="15"/>
        <v>81317.35537190082</v>
      </c>
      <c r="J44" s="146">
        <f t="shared" si="15"/>
        <v>81317.35537190082</v>
      </c>
      <c r="K44" s="146">
        <f t="shared" si="15"/>
        <v>81317.35537190082</v>
      </c>
      <c r="L44" s="146">
        <f t="shared" si="15"/>
        <v>81317.35537190082</v>
      </c>
      <c r="M44" s="146">
        <f t="shared" si="15"/>
        <v>81317.35537190082</v>
      </c>
      <c r="N44" s="146">
        <f t="shared" si="15"/>
        <v>973400</v>
      </c>
    </row>
    <row r="45" spans="1:14" x14ac:dyDescent="0.25">
      <c r="A45" s="51"/>
    </row>
    <row r="46" spans="1:14" x14ac:dyDescent="0.25">
      <c r="A46" s="66" t="s">
        <v>114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</row>
    <row r="47" spans="1:14" x14ac:dyDescent="0.25">
      <c r="A47" s="6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ht="12" customHeight="1" x14ac:dyDescent="0.25">
      <c r="A48" s="33" t="str">
        <f t="shared" ref="A48:A58" si="16">A17</f>
        <v>Lease machines aflossingen</v>
      </c>
      <c r="B48" s="26">
        <f>'FIN ANALYSE'!C82/12</f>
        <v>1862.4401189894477</v>
      </c>
      <c r="C48" s="26">
        <f>B48</f>
        <v>1862.4401189894477</v>
      </c>
      <c r="D48" s="26">
        <f t="shared" ref="D48:M48" si="17">C48</f>
        <v>1862.4401189894477</v>
      </c>
      <c r="E48" s="26">
        <f t="shared" si="17"/>
        <v>1862.4401189894477</v>
      </c>
      <c r="F48" s="26">
        <f t="shared" si="17"/>
        <v>1862.4401189894477</v>
      </c>
      <c r="G48" s="26">
        <f t="shared" si="17"/>
        <v>1862.4401189894477</v>
      </c>
      <c r="H48" s="26">
        <f t="shared" si="17"/>
        <v>1862.4401189894477</v>
      </c>
      <c r="I48" s="26">
        <f t="shared" si="17"/>
        <v>1862.4401189894477</v>
      </c>
      <c r="J48" s="26">
        <f t="shared" si="17"/>
        <v>1862.4401189894477</v>
      </c>
      <c r="K48" s="26">
        <f t="shared" si="17"/>
        <v>1862.4401189894477</v>
      </c>
      <c r="L48" s="26">
        <f t="shared" si="17"/>
        <v>1862.4401189894477</v>
      </c>
      <c r="M48" s="26">
        <f t="shared" si="17"/>
        <v>1862.4401189894477</v>
      </c>
      <c r="N48" s="26">
        <f>SUM(B48:M48)</f>
        <v>22349.281427873375</v>
      </c>
    </row>
    <row r="49" spans="1:14" x14ac:dyDescent="0.25">
      <c r="A49" s="33" t="str">
        <f t="shared" si="16"/>
        <v>Betaling 10 % voorschot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>
        <f t="shared" ref="N49:N58" si="18">SUM(B49:M49)</f>
        <v>0</v>
      </c>
    </row>
    <row r="50" spans="1:14" x14ac:dyDescent="0.25">
      <c r="A50" s="33" t="str">
        <f t="shared" si="16"/>
        <v>Investeringen</v>
      </c>
      <c r="B50" s="26">
        <f>'FIN ANALYSE'!C84</f>
        <v>0</v>
      </c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>
        <f t="shared" si="18"/>
        <v>0</v>
      </c>
    </row>
    <row r="51" spans="1:14" x14ac:dyDescent="0.25">
      <c r="A51" s="33" t="str">
        <f t="shared" si="16"/>
        <v>Leveranciers goederen</v>
      </c>
      <c r="B51" s="26">
        <f>'FIN ANALYSE'!C85/12</f>
        <v>48534.375</v>
      </c>
      <c r="C51" s="26">
        <f>B51</f>
        <v>48534.375</v>
      </c>
      <c r="D51" s="26">
        <f t="shared" ref="D51:M51" si="19">C51</f>
        <v>48534.375</v>
      </c>
      <c r="E51" s="26">
        <f t="shared" si="19"/>
        <v>48534.375</v>
      </c>
      <c r="F51" s="26">
        <f t="shared" si="19"/>
        <v>48534.375</v>
      </c>
      <c r="G51" s="26">
        <f t="shared" si="19"/>
        <v>48534.375</v>
      </c>
      <c r="H51" s="26">
        <f t="shared" si="19"/>
        <v>48534.375</v>
      </c>
      <c r="I51" s="26">
        <f t="shared" si="19"/>
        <v>48534.375</v>
      </c>
      <c r="J51" s="26">
        <f t="shared" si="19"/>
        <v>48534.375</v>
      </c>
      <c r="K51" s="26">
        <f t="shared" si="19"/>
        <v>48534.375</v>
      </c>
      <c r="L51" s="26">
        <f t="shared" si="19"/>
        <v>48534.375</v>
      </c>
      <c r="M51" s="26">
        <f t="shared" si="19"/>
        <v>48534.375</v>
      </c>
      <c r="N51" s="26">
        <f t="shared" si="18"/>
        <v>582412.5</v>
      </c>
    </row>
    <row r="52" spans="1:14" x14ac:dyDescent="0.25">
      <c r="A52" s="2" t="e">
        <f t="shared" si="16"/>
        <v>#REF!</v>
      </c>
      <c r="B52" s="26">
        <f>M21</f>
        <v>16229.381818181819</v>
      </c>
      <c r="C52" s="26">
        <f>('FIN ANALYSE'!C86-'CASH FLOW MAAND'!B52)/11</f>
        <v>15407.467107438019</v>
      </c>
      <c r="D52" s="26">
        <f>C52</f>
        <v>15407.467107438019</v>
      </c>
      <c r="E52" s="26">
        <f t="shared" ref="E52:M52" si="20">D52</f>
        <v>15407.467107438019</v>
      </c>
      <c r="F52" s="26">
        <f t="shared" si="20"/>
        <v>15407.467107438019</v>
      </c>
      <c r="G52" s="26">
        <f t="shared" si="20"/>
        <v>15407.467107438019</v>
      </c>
      <c r="H52" s="26">
        <f t="shared" si="20"/>
        <v>15407.467107438019</v>
      </c>
      <c r="I52" s="26">
        <f t="shared" si="20"/>
        <v>15407.467107438019</v>
      </c>
      <c r="J52" s="26">
        <f t="shared" si="20"/>
        <v>15407.467107438019</v>
      </c>
      <c r="K52" s="26">
        <f t="shared" si="20"/>
        <v>15407.467107438019</v>
      </c>
      <c r="L52" s="26">
        <f t="shared" si="20"/>
        <v>15407.467107438019</v>
      </c>
      <c r="M52" s="26">
        <f t="shared" si="20"/>
        <v>15407.467107438019</v>
      </c>
      <c r="N52" s="26">
        <f t="shared" si="18"/>
        <v>185711.52000000002</v>
      </c>
    </row>
    <row r="53" spans="1:14" x14ac:dyDescent="0.25">
      <c r="A53" s="33" t="str">
        <f t="shared" si="16"/>
        <v>Leveranciers kosten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>
        <f t="shared" si="18"/>
        <v>0</v>
      </c>
    </row>
    <row r="54" spans="1:14" x14ac:dyDescent="0.25">
      <c r="A54" s="33" t="e">
        <f t="shared" si="16"/>
        <v>#REF!</v>
      </c>
      <c r="B54" s="26"/>
      <c r="C54" s="26"/>
      <c r="D54" s="26"/>
      <c r="E54" s="26" t="e">
        <f>'FIN ANALYSE'!#REF!/3</f>
        <v>#REF!</v>
      </c>
      <c r="F54" s="26"/>
      <c r="G54" s="26"/>
      <c r="H54" s="26" t="e">
        <f>E54</f>
        <v>#REF!</v>
      </c>
      <c r="I54" s="26"/>
      <c r="J54" s="26"/>
      <c r="K54" s="26" t="e">
        <f>H54</f>
        <v>#REF!</v>
      </c>
      <c r="L54" s="26"/>
      <c r="M54" s="26"/>
      <c r="N54" s="26" t="e">
        <f t="shared" si="18"/>
        <v>#REF!</v>
      </c>
    </row>
    <row r="55" spans="1:14" x14ac:dyDescent="0.25">
      <c r="A55" s="33" t="str">
        <f t="shared" si="16"/>
        <v>Bezoldigingen en Sociale lasten</v>
      </c>
      <c r="B55" s="26">
        <f>'FIN ANALYSE'!C87/12</f>
        <v>7326.6287199999997</v>
      </c>
      <c r="C55" s="26">
        <f>B55</f>
        <v>7326.6287199999997</v>
      </c>
      <c r="D55" s="26">
        <f t="shared" ref="D55:M55" si="21">C55</f>
        <v>7326.6287199999997</v>
      </c>
      <c r="E55" s="26">
        <f t="shared" si="21"/>
        <v>7326.6287199999997</v>
      </c>
      <c r="F55" s="26">
        <f t="shared" si="21"/>
        <v>7326.6287199999997</v>
      </c>
      <c r="G55" s="26">
        <f t="shared" si="21"/>
        <v>7326.6287199999997</v>
      </c>
      <c r="H55" s="26">
        <f t="shared" si="21"/>
        <v>7326.6287199999997</v>
      </c>
      <c r="I55" s="26">
        <f t="shared" si="21"/>
        <v>7326.6287199999997</v>
      </c>
      <c r="J55" s="26">
        <f t="shared" si="21"/>
        <v>7326.6287199999997</v>
      </c>
      <c r="K55" s="26">
        <f t="shared" si="21"/>
        <v>7326.6287199999997</v>
      </c>
      <c r="L55" s="26">
        <f t="shared" si="21"/>
        <v>7326.6287199999997</v>
      </c>
      <c r="M55" s="26">
        <f t="shared" si="21"/>
        <v>7326.6287199999997</v>
      </c>
      <c r="N55" s="26">
        <f t="shared" si="18"/>
        <v>87919.544639999978</v>
      </c>
    </row>
    <row r="56" spans="1:14" x14ac:dyDescent="0.25">
      <c r="A56" s="33" t="str">
        <f t="shared" si="16"/>
        <v>Overige bedrijfskosten</v>
      </c>
      <c r="B56" s="26">
        <f>'FIN ANALYSE'!C88/12</f>
        <v>403.41666666666669</v>
      </c>
      <c r="C56" s="26">
        <f t="shared" ref="C56:M57" si="22">B56</f>
        <v>403.41666666666669</v>
      </c>
      <c r="D56" s="26">
        <f t="shared" si="22"/>
        <v>403.41666666666669</v>
      </c>
      <c r="E56" s="26">
        <f t="shared" si="22"/>
        <v>403.41666666666669</v>
      </c>
      <c r="F56" s="26">
        <f t="shared" si="22"/>
        <v>403.41666666666669</v>
      </c>
      <c r="G56" s="26">
        <f t="shared" si="22"/>
        <v>403.41666666666669</v>
      </c>
      <c r="H56" s="26">
        <f t="shared" si="22"/>
        <v>403.41666666666669</v>
      </c>
      <c r="I56" s="26">
        <f t="shared" si="22"/>
        <v>403.41666666666669</v>
      </c>
      <c r="J56" s="26">
        <f t="shared" si="22"/>
        <v>403.41666666666669</v>
      </c>
      <c r="K56" s="26">
        <f t="shared" si="22"/>
        <v>403.41666666666669</v>
      </c>
      <c r="L56" s="26">
        <f t="shared" si="22"/>
        <v>403.41666666666669</v>
      </c>
      <c r="M56" s="26">
        <f t="shared" si="22"/>
        <v>403.41666666666669</v>
      </c>
      <c r="N56" s="26">
        <f t="shared" si="18"/>
        <v>4841</v>
      </c>
    </row>
    <row r="57" spans="1:14" x14ac:dyDescent="0.25">
      <c r="A57" s="33" t="str">
        <f t="shared" si="16"/>
        <v>Intresten</v>
      </c>
      <c r="B57" s="26">
        <f>'FIN ANALYSE'!C89/12</f>
        <v>1001.3287924655833</v>
      </c>
      <c r="C57" s="26">
        <f t="shared" si="22"/>
        <v>1001.3287924655833</v>
      </c>
      <c r="D57" s="26">
        <f t="shared" si="22"/>
        <v>1001.3287924655833</v>
      </c>
      <c r="E57" s="26">
        <f t="shared" si="22"/>
        <v>1001.3287924655833</v>
      </c>
      <c r="F57" s="26">
        <f t="shared" si="22"/>
        <v>1001.3287924655833</v>
      </c>
      <c r="G57" s="26">
        <f t="shared" si="22"/>
        <v>1001.3287924655833</v>
      </c>
      <c r="H57" s="26">
        <f t="shared" si="22"/>
        <v>1001.3287924655833</v>
      </c>
      <c r="I57" s="26">
        <f t="shared" si="22"/>
        <v>1001.3287924655833</v>
      </c>
      <c r="J57" s="26">
        <f t="shared" si="22"/>
        <v>1001.3287924655833</v>
      </c>
      <c r="K57" s="26">
        <f t="shared" si="22"/>
        <v>1001.3287924655833</v>
      </c>
      <c r="L57" s="26">
        <f t="shared" si="22"/>
        <v>1001.3287924655833</v>
      </c>
      <c r="M57" s="26">
        <f t="shared" si="22"/>
        <v>1001.3287924655833</v>
      </c>
      <c r="N57" s="26">
        <f t="shared" si="18"/>
        <v>12015.945509587</v>
      </c>
    </row>
    <row r="58" spans="1:14" x14ac:dyDescent="0.25">
      <c r="A58" s="33" t="str">
        <f t="shared" si="16"/>
        <v>Belastingen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>
        <f t="shared" si="18"/>
        <v>0</v>
      </c>
    </row>
    <row r="59" spans="1:14" x14ac:dyDescent="0.25">
      <c r="A59" s="67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</row>
    <row r="60" spans="1:14" x14ac:dyDescent="0.25">
      <c r="A60" s="146" t="s">
        <v>30</v>
      </c>
      <c r="B60" s="146">
        <f t="shared" ref="B60:N60" si="23">SUM(B48:B59)</f>
        <v>75357.571116303516</v>
      </c>
      <c r="C60" s="146">
        <f t="shared" si="23"/>
        <v>74535.656405559726</v>
      </c>
      <c r="D60" s="146">
        <f t="shared" si="23"/>
        <v>74535.656405559726</v>
      </c>
      <c r="E60" s="146" t="e">
        <f t="shared" si="23"/>
        <v>#REF!</v>
      </c>
      <c r="F60" s="146">
        <f t="shared" si="23"/>
        <v>74535.656405559726</v>
      </c>
      <c r="G60" s="146">
        <f t="shared" si="23"/>
        <v>74535.656405559726</v>
      </c>
      <c r="H60" s="146" t="e">
        <f t="shared" si="23"/>
        <v>#REF!</v>
      </c>
      <c r="I60" s="146">
        <f t="shared" si="23"/>
        <v>74535.656405559726</v>
      </c>
      <c r="J60" s="146">
        <f t="shared" si="23"/>
        <v>74535.656405559726</v>
      </c>
      <c r="K60" s="146" t="e">
        <f t="shared" si="23"/>
        <v>#REF!</v>
      </c>
      <c r="L60" s="146">
        <f t="shared" si="23"/>
        <v>74535.656405559726</v>
      </c>
      <c r="M60" s="146">
        <f t="shared" si="23"/>
        <v>74535.656405559726</v>
      </c>
      <c r="N60" s="146" t="e">
        <f t="shared" si="23"/>
        <v>#REF!</v>
      </c>
    </row>
    <row r="61" spans="1:14" x14ac:dyDescent="0.25">
      <c r="A61" s="54" t="s">
        <v>80</v>
      </c>
      <c r="B61" s="54">
        <f t="shared" ref="B61:N61" si="24">B44-B60</f>
        <v>3551.519792787396</v>
      </c>
      <c r="C61" s="54">
        <f t="shared" si="24"/>
        <v>6781.6989663410932</v>
      </c>
      <c r="D61" s="54">
        <f t="shared" si="24"/>
        <v>6781.6989663410932</v>
      </c>
      <c r="E61" s="54" t="e">
        <f t="shared" si="24"/>
        <v>#REF!</v>
      </c>
      <c r="F61" s="54">
        <f t="shared" si="24"/>
        <v>6781.6989663410932</v>
      </c>
      <c r="G61" s="54">
        <f t="shared" si="24"/>
        <v>6781.6989663410932</v>
      </c>
      <c r="H61" s="54" t="e">
        <f t="shared" si="24"/>
        <v>#REF!</v>
      </c>
      <c r="I61" s="54">
        <f t="shared" si="24"/>
        <v>6781.6989663410932</v>
      </c>
      <c r="J61" s="54">
        <f t="shared" si="24"/>
        <v>6781.6989663410932</v>
      </c>
      <c r="K61" s="54" t="e">
        <f t="shared" si="24"/>
        <v>#REF!</v>
      </c>
      <c r="L61" s="54">
        <f t="shared" si="24"/>
        <v>6781.6989663410932</v>
      </c>
      <c r="M61" s="54">
        <f t="shared" si="24"/>
        <v>6781.6989663410932</v>
      </c>
      <c r="N61" s="34" t="e">
        <f t="shared" si="24"/>
        <v>#REF!</v>
      </c>
    </row>
    <row r="62" spans="1:14" x14ac:dyDescent="0.25">
      <c r="A62" s="149" t="s">
        <v>116</v>
      </c>
      <c r="B62" s="150" t="e">
        <f>M31+B61</f>
        <v>#REF!</v>
      </c>
      <c r="C62" s="150" t="e">
        <f>B62+C61</f>
        <v>#REF!</v>
      </c>
      <c r="D62" s="150" t="e">
        <f t="shared" ref="D62" si="25">C62+D61</f>
        <v>#REF!</v>
      </c>
      <c r="E62" s="150" t="e">
        <f t="shared" ref="E62" si="26">D62+E61</f>
        <v>#REF!</v>
      </c>
      <c r="F62" s="150" t="e">
        <f t="shared" ref="F62" si="27">E62+F61</f>
        <v>#REF!</v>
      </c>
      <c r="G62" s="150" t="e">
        <f t="shared" ref="G62" si="28">F62+G61</f>
        <v>#REF!</v>
      </c>
      <c r="H62" s="150" t="e">
        <f t="shared" ref="H62" si="29">G62+H61</f>
        <v>#REF!</v>
      </c>
      <c r="I62" s="150" t="e">
        <f t="shared" ref="I62" si="30">H62+I61</f>
        <v>#REF!</v>
      </c>
      <c r="J62" s="150" t="e">
        <f t="shared" ref="J62" si="31">I62+J61</f>
        <v>#REF!</v>
      </c>
      <c r="K62" s="150" t="e">
        <f t="shared" ref="K62" si="32">J62+K61</f>
        <v>#REF!</v>
      </c>
      <c r="L62" s="150" t="e">
        <f t="shared" ref="L62" si="33">K62+L61</f>
        <v>#REF!</v>
      </c>
      <c r="M62" s="151" t="e">
        <f t="shared" ref="M62" si="34">L62+M61</f>
        <v>#REF!</v>
      </c>
      <c r="N62" s="6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4"/>
  <sheetViews>
    <sheetView zoomScale="172" zoomScaleNormal="172" workbookViewId="0">
      <selection activeCell="B93" sqref="B93"/>
    </sheetView>
  </sheetViews>
  <sheetFormatPr defaultColWidth="9.21875" defaultRowHeight="13.8" x14ac:dyDescent="0.3"/>
  <cols>
    <col min="1" max="1" width="28.5546875" style="6" customWidth="1"/>
    <col min="2" max="2" width="10.5546875" style="2" customWidth="1"/>
    <col min="3" max="4" width="10.77734375" style="2" customWidth="1"/>
    <col min="5" max="5" width="12.33203125" style="2" bestFit="1" customWidth="1"/>
    <col min="6" max="6" width="10.77734375" style="2" customWidth="1"/>
    <col min="7" max="16384" width="9.21875" style="2"/>
  </cols>
  <sheetData>
    <row r="1" spans="1:6" ht="15.6" x14ac:dyDescent="0.3">
      <c r="A1" s="104" t="str">
        <f>ACTIVA!A1</f>
        <v>VDO</v>
      </c>
    </row>
    <row r="2" spans="1:6" ht="15.6" x14ac:dyDescent="0.3">
      <c r="A2" s="104"/>
    </row>
    <row r="3" spans="1:6" x14ac:dyDescent="0.3">
      <c r="A3" s="70" t="s">
        <v>43</v>
      </c>
    </row>
    <row r="4" spans="1:6" s="57" customFormat="1" x14ac:dyDescent="0.3">
      <c r="A4" s="70"/>
      <c r="B4" s="76" t="str">
        <f>'FIN ANALYSE'!B69</f>
        <v>Jaar 1</v>
      </c>
      <c r="C4" s="77" t="str">
        <f>RESULTAAT!C4</f>
        <v>Jaar 2</v>
      </c>
      <c r="D4" s="77" t="s">
        <v>179</v>
      </c>
      <c r="E4" s="277" t="s">
        <v>511</v>
      </c>
      <c r="F4" s="277" t="s">
        <v>512</v>
      </c>
    </row>
    <row r="5" spans="1:6" x14ac:dyDescent="0.3">
      <c r="B5" s="69"/>
      <c r="C5" s="33"/>
      <c r="D5" s="33"/>
    </row>
    <row r="6" spans="1:6" x14ac:dyDescent="0.3">
      <c r="A6" s="78" t="s">
        <v>44</v>
      </c>
      <c r="B6" s="86">
        <f>SUM(B8:B14)</f>
        <v>58100</v>
      </c>
      <c r="C6" s="45">
        <f>SUM(C8:C14)</f>
        <v>59011</v>
      </c>
      <c r="D6" s="45">
        <f>SUM(D8:D14)</f>
        <v>62222.87000000001</v>
      </c>
      <c r="E6" s="198"/>
      <c r="F6" s="198"/>
    </row>
    <row r="7" spans="1:6" ht="8.25" customHeight="1" x14ac:dyDescent="0.3">
      <c r="B7" s="69"/>
      <c r="C7" s="33"/>
      <c r="D7" s="33"/>
    </row>
    <row r="8" spans="1:6" x14ac:dyDescent="0.3">
      <c r="A8" s="6" t="s">
        <v>217</v>
      </c>
      <c r="B8" s="279">
        <f>1200*12</f>
        <v>14400</v>
      </c>
      <c r="C8" s="276">
        <f>B8*(1+$E$8)</f>
        <v>14688</v>
      </c>
      <c r="D8" s="276">
        <f>C8*(1+$E$8)</f>
        <v>14981.76</v>
      </c>
      <c r="E8" s="278">
        <v>0.02</v>
      </c>
      <c r="F8" s="278">
        <v>1</v>
      </c>
    </row>
    <row r="9" spans="1:6" x14ac:dyDescent="0.3">
      <c r="A9" s="6" t="s">
        <v>218</v>
      </c>
      <c r="B9" s="279">
        <f>700*12</f>
        <v>8400</v>
      </c>
      <c r="C9" s="276">
        <f>B9*(1+$E$9)</f>
        <v>8568</v>
      </c>
      <c r="D9" s="276">
        <f>C9*(1+$E$9)</f>
        <v>8739.36</v>
      </c>
      <c r="E9" s="278">
        <v>0.02</v>
      </c>
      <c r="F9" s="278">
        <v>0.5</v>
      </c>
    </row>
    <row r="10" spans="1:6" x14ac:dyDescent="0.3">
      <c r="A10" s="6" t="s">
        <v>219</v>
      </c>
      <c r="B10" s="69">
        <v>15000</v>
      </c>
      <c r="C10" s="33">
        <f>B10*(1+$E$10)</f>
        <v>16500</v>
      </c>
      <c r="D10" s="33">
        <f>C10*(1+$E$10)</f>
        <v>18150</v>
      </c>
      <c r="E10" s="278">
        <v>0.1</v>
      </c>
      <c r="F10" s="278">
        <v>0</v>
      </c>
    </row>
    <row r="11" spans="1:6" x14ac:dyDescent="0.3">
      <c r="A11" s="6" t="s">
        <v>221</v>
      </c>
      <c r="B11" s="69">
        <v>5000</v>
      </c>
      <c r="C11" s="33">
        <v>2500</v>
      </c>
      <c r="D11" s="33">
        <v>2000</v>
      </c>
      <c r="E11" s="278">
        <v>0.02</v>
      </c>
      <c r="F11" s="278">
        <v>0.3</v>
      </c>
    </row>
    <row r="12" spans="1:6" x14ac:dyDescent="0.3">
      <c r="A12" s="6" t="s">
        <v>220</v>
      </c>
      <c r="B12" s="69">
        <f>1050*12</f>
        <v>12600</v>
      </c>
      <c r="C12" s="33">
        <f>B12*(1+$E$12)</f>
        <v>13860.000000000002</v>
      </c>
      <c r="D12" s="33">
        <f>C12*(1+$E$12)</f>
        <v>15246.000000000004</v>
      </c>
      <c r="E12" s="278">
        <v>0.1</v>
      </c>
      <c r="F12" s="278">
        <v>0.3</v>
      </c>
    </row>
    <row r="13" spans="1:6" x14ac:dyDescent="0.3">
      <c r="A13" s="6" t="s">
        <v>46</v>
      </c>
      <c r="B13" s="69">
        <v>1500</v>
      </c>
      <c r="C13" s="33">
        <f>B13*(1+$E$13)</f>
        <v>1575</v>
      </c>
      <c r="D13" s="33">
        <f>C13*(1+$E$13)</f>
        <v>1653.75</v>
      </c>
      <c r="E13" s="278">
        <v>0.05</v>
      </c>
      <c r="F13" s="278">
        <v>1</v>
      </c>
    </row>
    <row r="14" spans="1:6" x14ac:dyDescent="0.3">
      <c r="A14" s="6" t="s">
        <v>25</v>
      </c>
      <c r="B14" s="69">
        <v>1200</v>
      </c>
      <c r="C14" s="33">
        <f>B14*(1+$E$14)</f>
        <v>1320</v>
      </c>
      <c r="D14" s="33">
        <f>C14*(1+$E$14)</f>
        <v>1452.0000000000002</v>
      </c>
      <c r="E14" s="278">
        <v>0.1</v>
      </c>
      <c r="F14" s="278">
        <v>0.5</v>
      </c>
    </row>
    <row r="15" spans="1:6" x14ac:dyDescent="0.3">
      <c r="B15" s="69"/>
      <c r="C15" s="33"/>
      <c r="D15" s="33"/>
    </row>
    <row r="16" spans="1:6" x14ac:dyDescent="0.3">
      <c r="A16" s="78" t="s">
        <v>47</v>
      </c>
      <c r="B16" s="86">
        <f>SUM(B18:B25)</f>
        <v>27300</v>
      </c>
      <c r="C16" s="45">
        <f>SUM(C18:C25)</f>
        <v>27960</v>
      </c>
      <c r="D16" s="45">
        <f>SUM(D18:D25)</f>
        <v>30556.000000000007</v>
      </c>
      <c r="E16" s="198"/>
      <c r="F16" s="198"/>
    </row>
    <row r="17" spans="1:6" ht="8.25" customHeight="1" x14ac:dyDescent="0.3">
      <c r="B17" s="69"/>
      <c r="C17" s="33"/>
      <c r="D17" s="33"/>
    </row>
    <row r="18" spans="1:6" x14ac:dyDescent="0.3">
      <c r="A18" s="6" t="s">
        <v>50</v>
      </c>
      <c r="B18" s="69">
        <v>7000</v>
      </c>
      <c r="C18" s="33">
        <f>B18*(1+$E$18)</f>
        <v>7700.0000000000009</v>
      </c>
      <c r="D18" s="33">
        <f>C18*(1+$E$18)</f>
        <v>8470.0000000000018</v>
      </c>
      <c r="E18" s="278">
        <v>0.1</v>
      </c>
      <c r="F18" s="278">
        <v>0.75</v>
      </c>
    </row>
    <row r="19" spans="1:6" x14ac:dyDescent="0.3">
      <c r="A19" s="6" t="s">
        <v>48</v>
      </c>
      <c r="B19" s="69">
        <v>3000</v>
      </c>
      <c r="C19" s="33">
        <f>B19*(1+$E$19)</f>
        <v>3300.0000000000005</v>
      </c>
      <c r="D19" s="33">
        <f>C19*(1+$E$19)</f>
        <v>3630.0000000000009</v>
      </c>
      <c r="E19" s="278">
        <v>0.1</v>
      </c>
      <c r="F19" s="278">
        <v>0.75</v>
      </c>
    </row>
    <row r="20" spans="1:6" x14ac:dyDescent="0.3">
      <c r="A20" s="6" t="s">
        <v>49</v>
      </c>
      <c r="B20" s="69">
        <v>4300</v>
      </c>
      <c r="C20" s="33">
        <f>B20*(1+$E$20)</f>
        <v>4730</v>
      </c>
      <c r="D20" s="33">
        <f>C20*(1+$E$20)</f>
        <v>5203</v>
      </c>
      <c r="E20" s="278">
        <v>0.1</v>
      </c>
      <c r="F20" s="278">
        <v>0.45</v>
      </c>
    </row>
    <row r="21" spans="1:6" x14ac:dyDescent="0.3">
      <c r="A21" s="6" t="s">
        <v>222</v>
      </c>
      <c r="B21" s="69">
        <v>1900</v>
      </c>
      <c r="C21" s="33">
        <f>B21*(1+$E$21)</f>
        <v>2090</v>
      </c>
      <c r="D21" s="33">
        <f>C21*(1+$E$21)</f>
        <v>2299</v>
      </c>
      <c r="E21" s="278">
        <v>0.1</v>
      </c>
      <c r="F21" s="278">
        <v>0.45</v>
      </c>
    </row>
    <row r="22" spans="1:6" x14ac:dyDescent="0.3">
      <c r="A22" s="6" t="s">
        <v>56</v>
      </c>
      <c r="B22" s="69">
        <v>5500</v>
      </c>
      <c r="C22" s="33">
        <f>B22*(1+$E$22)</f>
        <v>6050.0000000000009</v>
      </c>
      <c r="D22" s="33">
        <f>C22*(1+$E$22)</f>
        <v>6655.0000000000018</v>
      </c>
      <c r="E22" s="278">
        <v>0.1</v>
      </c>
      <c r="F22" s="278">
        <v>0.95</v>
      </c>
    </row>
    <row r="23" spans="1:6" x14ac:dyDescent="0.3">
      <c r="A23" s="6" t="s">
        <v>57</v>
      </c>
      <c r="B23" s="69">
        <v>3700</v>
      </c>
      <c r="C23" s="33">
        <v>2000</v>
      </c>
      <c r="D23" s="33">
        <v>2000</v>
      </c>
      <c r="E23" s="278"/>
      <c r="F23" s="278">
        <v>1</v>
      </c>
    </row>
    <row r="24" spans="1:6" x14ac:dyDescent="0.3">
      <c r="A24" s="6" t="s">
        <v>58</v>
      </c>
      <c r="B24" s="69">
        <v>700</v>
      </c>
      <c r="C24" s="33">
        <f>B24*(1+$E$24)</f>
        <v>770.00000000000011</v>
      </c>
      <c r="D24" s="33">
        <f>C24*(1+$E$24)</f>
        <v>847.00000000000023</v>
      </c>
      <c r="E24" s="278">
        <v>0.1</v>
      </c>
      <c r="F24" s="278">
        <v>0.55000000000000004</v>
      </c>
    </row>
    <row r="25" spans="1:6" x14ac:dyDescent="0.3">
      <c r="A25" s="6" t="s">
        <v>223</v>
      </c>
      <c r="B25" s="69">
        <v>1200</v>
      </c>
      <c r="C25" s="33">
        <f>B25*(1+$E$25)</f>
        <v>1320</v>
      </c>
      <c r="D25" s="33">
        <f>C25*(1+$E$25)</f>
        <v>1452.0000000000002</v>
      </c>
      <c r="E25" s="278">
        <v>0.1</v>
      </c>
      <c r="F25" s="278">
        <v>0.75</v>
      </c>
    </row>
    <row r="26" spans="1:6" x14ac:dyDescent="0.3">
      <c r="B26" s="69"/>
      <c r="C26" s="33"/>
      <c r="D26" s="33"/>
    </row>
    <row r="27" spans="1:6" x14ac:dyDescent="0.3">
      <c r="A27" s="78" t="s">
        <v>33</v>
      </c>
      <c r="B27" s="86">
        <f>SUM(B29:B33)</f>
        <v>15750</v>
      </c>
      <c r="C27" s="45">
        <f>SUM(C29:C33)</f>
        <v>15780</v>
      </c>
      <c r="D27" s="45">
        <f>SUM(D29:D33)</f>
        <v>16100</v>
      </c>
      <c r="E27" s="198"/>
      <c r="F27" s="198"/>
    </row>
    <row r="28" spans="1:6" ht="6.75" customHeight="1" x14ac:dyDescent="0.3">
      <c r="B28" s="69"/>
      <c r="C28" s="33"/>
      <c r="D28" s="33"/>
    </row>
    <row r="29" spans="1:6" x14ac:dyDescent="0.3">
      <c r="A29" s="6" t="s">
        <v>51</v>
      </c>
      <c r="B29" s="69">
        <v>6000</v>
      </c>
      <c r="C29" s="33">
        <f>B29</f>
        <v>6000</v>
      </c>
      <c r="D29" s="33">
        <f>C29</f>
        <v>6000</v>
      </c>
      <c r="F29" s="278">
        <v>0.15</v>
      </c>
    </row>
    <row r="30" spans="1:6" x14ac:dyDescent="0.3">
      <c r="A30" s="6" t="s">
        <v>52</v>
      </c>
      <c r="B30" s="69">
        <v>6550</v>
      </c>
      <c r="C30" s="33">
        <v>6680</v>
      </c>
      <c r="D30" s="33">
        <v>7000</v>
      </c>
      <c r="F30" s="278">
        <v>0.15</v>
      </c>
    </row>
    <row r="31" spans="1:6" x14ac:dyDescent="0.3">
      <c r="A31" s="6" t="s">
        <v>224</v>
      </c>
      <c r="B31" s="69">
        <v>1700</v>
      </c>
      <c r="C31" s="33">
        <v>1800</v>
      </c>
      <c r="D31" s="33">
        <v>1850</v>
      </c>
      <c r="F31" s="278">
        <v>0.15</v>
      </c>
    </row>
    <row r="32" spans="1:6" x14ac:dyDescent="0.3">
      <c r="A32" s="6" t="s">
        <v>53</v>
      </c>
      <c r="B32" s="69"/>
      <c r="C32" s="33"/>
      <c r="D32" s="33"/>
      <c r="F32" s="278"/>
    </row>
    <row r="33" spans="1:6" x14ac:dyDescent="0.3">
      <c r="A33" s="6" t="s">
        <v>25</v>
      </c>
      <c r="B33" s="69">
        <v>1500</v>
      </c>
      <c r="C33" s="33">
        <v>1300</v>
      </c>
      <c r="D33" s="33">
        <v>1250</v>
      </c>
      <c r="F33" s="278">
        <v>0.15</v>
      </c>
    </row>
    <row r="34" spans="1:6" x14ac:dyDescent="0.3">
      <c r="B34" s="69"/>
      <c r="C34" s="33"/>
      <c r="D34" s="33"/>
      <c r="F34" s="278"/>
    </row>
    <row r="35" spans="1:6" x14ac:dyDescent="0.3">
      <c r="A35" s="78" t="s">
        <v>54</v>
      </c>
      <c r="B35" s="86">
        <f>SUM(B37:B41)</f>
        <v>26700</v>
      </c>
      <c r="C35" s="45">
        <f>SUM(C37:C41)</f>
        <v>27220</v>
      </c>
      <c r="D35" s="45">
        <f>SUM(D37:D41)</f>
        <v>27730</v>
      </c>
      <c r="E35" s="198"/>
      <c r="F35" s="198"/>
    </row>
    <row r="36" spans="1:6" ht="9" customHeight="1" x14ac:dyDescent="0.3">
      <c r="B36" s="69"/>
      <c r="C36" s="33"/>
      <c r="D36" s="33"/>
    </row>
    <row r="37" spans="1:6" x14ac:dyDescent="0.3">
      <c r="A37" s="6" t="s">
        <v>46</v>
      </c>
      <c r="B37" s="69">
        <v>2400</v>
      </c>
      <c r="C37" s="33">
        <v>2550</v>
      </c>
      <c r="D37" s="33">
        <v>2700</v>
      </c>
      <c r="F37" s="278">
        <v>1</v>
      </c>
    </row>
    <row r="38" spans="1:6" x14ac:dyDescent="0.3">
      <c r="A38" s="6" t="s">
        <v>216</v>
      </c>
      <c r="B38" s="69">
        <f>1350*12</f>
        <v>16200</v>
      </c>
      <c r="C38" s="33">
        <f t="shared" ref="C38:D38" si="0">1350*12</f>
        <v>16200</v>
      </c>
      <c r="D38" s="33">
        <f t="shared" si="0"/>
        <v>16200</v>
      </c>
      <c r="F38" s="278">
        <v>1</v>
      </c>
    </row>
    <row r="39" spans="1:6" x14ac:dyDescent="0.3">
      <c r="A39" s="6" t="s">
        <v>55</v>
      </c>
      <c r="B39" s="69">
        <f>550*12</f>
        <v>6600</v>
      </c>
      <c r="C39" s="33">
        <v>6900</v>
      </c>
      <c r="D39" s="33">
        <v>7200</v>
      </c>
      <c r="F39" s="278">
        <v>0.25</v>
      </c>
    </row>
    <row r="40" spans="1:6" x14ac:dyDescent="0.3">
      <c r="A40" s="6" t="s">
        <v>45</v>
      </c>
      <c r="B40" s="69">
        <v>1500</v>
      </c>
      <c r="C40" s="33">
        <v>1570</v>
      </c>
      <c r="D40" s="33">
        <v>1630</v>
      </c>
      <c r="F40" s="278">
        <v>0.25</v>
      </c>
    </row>
    <row r="41" spans="1:6" x14ac:dyDescent="0.3">
      <c r="A41" s="6" t="s">
        <v>25</v>
      </c>
      <c r="B41" s="69"/>
      <c r="C41" s="33"/>
      <c r="D41" s="33"/>
    </row>
    <row r="42" spans="1:6" x14ac:dyDescent="0.3">
      <c r="B42" s="69"/>
      <c r="C42" s="33"/>
      <c r="D42" s="33"/>
    </row>
    <row r="43" spans="1:6" x14ac:dyDescent="0.3">
      <c r="A43" s="78" t="s">
        <v>67</v>
      </c>
      <c r="B43" s="86">
        <f>SUM(B45:B46)</f>
        <v>0</v>
      </c>
      <c r="C43" s="45">
        <f>SUM(C45:C46)</f>
        <v>0</v>
      </c>
      <c r="D43" s="45">
        <f>SUM(D45:D46)</f>
        <v>0</v>
      </c>
      <c r="E43" s="198"/>
      <c r="F43" s="198"/>
    </row>
    <row r="44" spans="1:6" ht="6.75" customHeight="1" x14ac:dyDescent="0.3">
      <c r="B44" s="69"/>
      <c r="C44" s="33"/>
      <c r="D44" s="33"/>
    </row>
    <row r="45" spans="1:6" x14ac:dyDescent="0.3">
      <c r="A45" s="6" t="s">
        <v>59</v>
      </c>
      <c r="B45" s="69"/>
      <c r="C45" s="33"/>
      <c r="D45" s="33"/>
    </row>
    <row r="46" spans="1:6" x14ac:dyDescent="0.3">
      <c r="A46" s="6" t="s">
        <v>68</v>
      </c>
      <c r="B46" s="69"/>
      <c r="C46" s="33"/>
      <c r="D46" s="33"/>
    </row>
    <row r="47" spans="1:6" x14ac:dyDescent="0.3">
      <c r="B47" s="69"/>
      <c r="C47" s="33"/>
      <c r="D47" s="33"/>
    </row>
    <row r="48" spans="1:6" x14ac:dyDescent="0.3">
      <c r="A48" s="78" t="s">
        <v>60</v>
      </c>
      <c r="B48" s="86">
        <f>SUM(B50:B52)</f>
        <v>50673.2</v>
      </c>
      <c r="C48" s="45">
        <f>SUM(C50:C52)</f>
        <v>55740.520000000004</v>
      </c>
      <c r="D48" s="45">
        <f>SUM(D50:D52)</f>
        <v>57236.772000000012</v>
      </c>
      <c r="E48" s="198"/>
      <c r="F48" s="198"/>
    </row>
    <row r="49" spans="1:6" ht="8.25" customHeight="1" x14ac:dyDescent="0.3">
      <c r="B49" s="69"/>
      <c r="C49" s="33"/>
      <c r="D49" s="33"/>
    </row>
    <row r="50" spans="1:6" x14ac:dyDescent="0.3">
      <c r="A50" s="6" t="s">
        <v>61</v>
      </c>
      <c r="B50" s="69">
        <f>3800*12</f>
        <v>45600</v>
      </c>
      <c r="C50" s="33">
        <f>B50*1.1</f>
        <v>50160.000000000007</v>
      </c>
      <c r="D50" s="33">
        <f>C50*1.02</f>
        <v>51163.200000000012</v>
      </c>
      <c r="F50" s="278">
        <v>0.5</v>
      </c>
    </row>
    <row r="51" spans="1:6" x14ac:dyDescent="0.3">
      <c r="A51" s="6" t="s">
        <v>46</v>
      </c>
      <c r="B51" s="69">
        <v>1500</v>
      </c>
      <c r="C51" s="33">
        <v>1650</v>
      </c>
      <c r="D51" s="33">
        <v>1750</v>
      </c>
      <c r="F51" s="278">
        <v>0.5</v>
      </c>
    </row>
    <row r="52" spans="1:6" x14ac:dyDescent="0.3">
      <c r="A52" s="6" t="s">
        <v>225</v>
      </c>
      <c r="B52" s="69">
        <f>893.3*4</f>
        <v>3573.2</v>
      </c>
      <c r="C52" s="33">
        <f t="shared" ref="C52:D52" si="1">B52*1.1</f>
        <v>3930.52</v>
      </c>
      <c r="D52" s="33">
        <f t="shared" si="1"/>
        <v>4323.5720000000001</v>
      </c>
      <c r="F52" s="278">
        <v>1</v>
      </c>
    </row>
    <row r="53" spans="1:6" x14ac:dyDescent="0.3">
      <c r="B53" s="69"/>
      <c r="C53" s="33"/>
      <c r="D53" s="33"/>
    </row>
    <row r="54" spans="1:6" x14ac:dyDescent="0.3">
      <c r="A54" s="126" t="s">
        <v>65</v>
      </c>
      <c r="B54" s="156">
        <f>B48+B43+B35+B6+B16+B27</f>
        <v>178523.2</v>
      </c>
      <c r="C54" s="157">
        <f>C48+C43+C35+C6+C16+C27</f>
        <v>185711.52000000002</v>
      </c>
      <c r="D54" s="157">
        <f>D48+D43+D35+D6+D16+D27</f>
        <v>193845.64200000002</v>
      </c>
      <c r="E54" s="20"/>
      <c r="F54" s="20"/>
    </row>
    <row r="58" spans="1:6" x14ac:dyDescent="0.3">
      <c r="A58" s="21" t="s">
        <v>69</v>
      </c>
    </row>
    <row r="59" spans="1:6" x14ac:dyDescent="0.3">
      <c r="B59" s="29" t="str">
        <f>B4</f>
        <v>Jaar 1</v>
      </c>
      <c r="C59" s="29" t="str">
        <f>C4</f>
        <v>Jaar 2</v>
      </c>
      <c r="D59" s="29" t="s">
        <v>179</v>
      </c>
      <c r="E59" s="198"/>
      <c r="F59" s="198"/>
    </row>
    <row r="60" spans="1:6" x14ac:dyDescent="0.3">
      <c r="A60" s="6" t="s">
        <v>265</v>
      </c>
      <c r="B60" s="2">
        <v>1</v>
      </c>
      <c r="C60" s="2">
        <v>1</v>
      </c>
      <c r="D60" s="2">
        <v>1</v>
      </c>
      <c r="E60" s="198"/>
      <c r="F60" s="198"/>
    </row>
    <row r="61" spans="1:6" x14ac:dyDescent="0.3">
      <c r="A61" s="6" t="s">
        <v>275</v>
      </c>
      <c r="B61" s="2">
        <v>18</v>
      </c>
      <c r="C61" s="2">
        <f>B61*1.02</f>
        <v>18.36</v>
      </c>
      <c r="D61" s="2">
        <f>C61*1.02</f>
        <v>18.7272</v>
      </c>
      <c r="E61" s="278">
        <v>0.02</v>
      </c>
      <c r="F61" s="198"/>
    </row>
    <row r="62" spans="1:6" x14ac:dyDescent="0.3">
      <c r="A62" s="6" t="s">
        <v>276</v>
      </c>
      <c r="B62" s="2">
        <v>38</v>
      </c>
      <c r="C62" s="2">
        <v>38</v>
      </c>
      <c r="D62" s="2">
        <v>38</v>
      </c>
      <c r="E62" s="198"/>
      <c r="F62" s="198"/>
    </row>
    <row r="63" spans="1:6" x14ac:dyDescent="0.3">
      <c r="A63" s="6" t="s">
        <v>277</v>
      </c>
      <c r="B63" s="2">
        <f>B61*B62*4</f>
        <v>2736</v>
      </c>
      <c r="C63" s="2">
        <f>C61*C62*4</f>
        <v>2790.72</v>
      </c>
      <c r="D63" s="2">
        <f>D61*D62*4</f>
        <v>2846.5344</v>
      </c>
      <c r="E63" s="198"/>
      <c r="F63" s="198"/>
    </row>
    <row r="64" spans="1:6" x14ac:dyDescent="0.3">
      <c r="A64" s="6" t="s">
        <v>278</v>
      </c>
      <c r="B64" s="2">
        <f>B63*1.3385</f>
        <v>3662.136</v>
      </c>
      <c r="C64" s="2">
        <f t="shared" ref="C64:D64" si="2">C63*1.3385</f>
        <v>3735.3787199999997</v>
      </c>
      <c r="D64" s="2">
        <f t="shared" si="2"/>
        <v>3810.0862944</v>
      </c>
      <c r="E64" s="198"/>
      <c r="F64" s="198"/>
    </row>
    <row r="65" spans="1:6" x14ac:dyDescent="0.3">
      <c r="A65" s="6" t="s">
        <v>513</v>
      </c>
      <c r="B65" s="280">
        <f>B64*12</f>
        <v>43945.631999999998</v>
      </c>
      <c r="C65" s="280">
        <f t="shared" ref="C65:D65" si="3">C64*12</f>
        <v>44824.544639999993</v>
      </c>
      <c r="D65" s="280">
        <f t="shared" si="3"/>
        <v>45721.035532800001</v>
      </c>
      <c r="E65" s="198"/>
      <c r="F65" s="198"/>
    </row>
    <row r="66" spans="1:6" ht="12" x14ac:dyDescent="0.25">
      <c r="A66" s="2"/>
    </row>
    <row r="67" spans="1:6" ht="12" x14ac:dyDescent="0.25">
      <c r="A67" s="2"/>
    </row>
    <row r="68" spans="1:6" x14ac:dyDescent="0.3">
      <c r="A68" s="6" t="s">
        <v>264</v>
      </c>
      <c r="B68" s="2">
        <v>1</v>
      </c>
      <c r="C68" s="2">
        <v>1</v>
      </c>
      <c r="D68" s="2">
        <v>1</v>
      </c>
    </row>
    <row r="69" spans="1:6" x14ac:dyDescent="0.3">
      <c r="A69" s="6" t="s">
        <v>277</v>
      </c>
      <c r="B69" s="2">
        <v>2600</v>
      </c>
      <c r="C69" s="2">
        <f>B69*(1+$E$69)</f>
        <v>2652</v>
      </c>
      <c r="D69" s="2">
        <f>C69*(1+$E$69)</f>
        <v>2705.04</v>
      </c>
      <c r="E69" s="278">
        <v>0.02</v>
      </c>
    </row>
    <row r="70" spans="1:6" x14ac:dyDescent="0.3">
      <c r="A70" s="6" t="s">
        <v>278</v>
      </c>
      <c r="B70" s="2">
        <f>B69*1.25</f>
        <v>3250</v>
      </c>
      <c r="C70" s="2">
        <f t="shared" ref="C70:D70" si="4">C69*1.25</f>
        <v>3315</v>
      </c>
      <c r="D70" s="2">
        <f t="shared" si="4"/>
        <v>3381.3</v>
      </c>
    </row>
    <row r="71" spans="1:6" x14ac:dyDescent="0.3">
      <c r="A71" s="6" t="s">
        <v>514</v>
      </c>
      <c r="B71" s="280">
        <f>B70*13</f>
        <v>42250</v>
      </c>
      <c r="C71" s="280">
        <f t="shared" ref="C71:D71" si="5">C70*13</f>
        <v>43095</v>
      </c>
      <c r="D71" s="280">
        <f t="shared" si="5"/>
        <v>43956.9</v>
      </c>
    </row>
    <row r="72" spans="1:6" ht="12" x14ac:dyDescent="0.25">
      <c r="A72" s="2"/>
    </row>
    <row r="73" spans="1:6" ht="6.75" customHeight="1" x14ac:dyDescent="0.3">
      <c r="B73" s="125"/>
    </row>
    <row r="74" spans="1:6" ht="12" x14ac:dyDescent="0.25">
      <c r="A74" s="156" t="s">
        <v>70</v>
      </c>
      <c r="B74" s="156">
        <f>B65+B71</f>
        <v>86195.631999999998</v>
      </c>
      <c r="C74" s="156">
        <f t="shared" ref="C74:D74" si="6">C65+C71</f>
        <v>87919.544639999993</v>
      </c>
      <c r="D74" s="156">
        <f t="shared" si="6"/>
        <v>89677.935532800009</v>
      </c>
      <c r="E74" s="20"/>
      <c r="F74" s="20"/>
    </row>
    <row r="78" spans="1:6" ht="14.4" x14ac:dyDescent="0.3">
      <c r="A78" s="103" t="s">
        <v>371</v>
      </c>
    </row>
    <row r="79" spans="1:6" x14ac:dyDescent="0.3">
      <c r="A79" s="21" t="s">
        <v>437</v>
      </c>
    </row>
    <row r="80" spans="1:6" x14ac:dyDescent="0.3">
      <c r="A80" s="6" t="s">
        <v>279</v>
      </c>
      <c r="B80" s="2">
        <f>'INVEST TABEL'!C12</f>
        <v>300000</v>
      </c>
    </row>
    <row r="81" spans="1:6" x14ac:dyDescent="0.3">
      <c r="A81" s="6" t="s">
        <v>280</v>
      </c>
      <c r="B81" s="125">
        <f>-B80*C81</f>
        <v>0</v>
      </c>
      <c r="C81" s="159">
        <v>0</v>
      </c>
      <c r="D81" s="159"/>
      <c r="E81" s="159"/>
      <c r="F81" s="159"/>
    </row>
    <row r="82" spans="1:6" x14ac:dyDescent="0.3">
      <c r="A82" s="6" t="s">
        <v>293</v>
      </c>
      <c r="B82" s="2">
        <f>B80+B81</f>
        <v>300000</v>
      </c>
      <c r="C82" s="159"/>
      <c r="D82" s="159"/>
      <c r="E82" s="159"/>
      <c r="F82" s="159"/>
    </row>
    <row r="83" spans="1:6" x14ac:dyDescent="0.3">
      <c r="A83" s="6" t="s">
        <v>438</v>
      </c>
      <c r="B83" s="125">
        <f>-B80*C83</f>
        <v>-30000</v>
      </c>
      <c r="C83" s="159">
        <v>0.1</v>
      </c>
      <c r="D83" s="159"/>
      <c r="E83" s="159"/>
      <c r="F83" s="159"/>
    </row>
    <row r="84" spans="1:6" x14ac:dyDescent="0.3">
      <c r="A84" s="6" t="s">
        <v>294</v>
      </c>
      <c r="B84" s="161">
        <f>SUM(B82:B83)</f>
        <v>270000</v>
      </c>
      <c r="C84" s="159"/>
      <c r="D84" s="159"/>
      <c r="E84" s="159"/>
      <c r="F84" s="159"/>
    </row>
    <row r="85" spans="1:6" x14ac:dyDescent="0.3">
      <c r="A85" s="6" t="s">
        <v>281</v>
      </c>
      <c r="B85" s="2">
        <v>10</v>
      </c>
    </row>
    <row r="86" spans="1:6" x14ac:dyDescent="0.3">
      <c r="A86" s="6" t="s">
        <v>545</v>
      </c>
      <c r="B86" s="160">
        <v>0.05</v>
      </c>
    </row>
    <row r="87" spans="1:6" x14ac:dyDescent="0.3">
      <c r="A87" s="6" t="s">
        <v>546</v>
      </c>
      <c r="B87" s="2">
        <f>Aflossingstabel!D14</f>
        <v>2863.7689114550312</v>
      </c>
    </row>
    <row r="88" spans="1:6" ht="12" x14ac:dyDescent="0.25">
      <c r="A88" s="2"/>
    </row>
    <row r="89" spans="1:6" ht="12" x14ac:dyDescent="0.25">
      <c r="A89" s="2"/>
    </row>
    <row r="90" spans="1:6" ht="12" x14ac:dyDescent="0.25">
      <c r="A90" s="2" t="s">
        <v>497</v>
      </c>
      <c r="C90" s="2" t="s">
        <v>571</v>
      </c>
    </row>
    <row r="91" spans="1:6" ht="12" x14ac:dyDescent="0.25">
      <c r="A91" s="2" t="s">
        <v>557</v>
      </c>
      <c r="B91" s="2">
        <f>OPGAVE!B12</f>
        <v>4700</v>
      </c>
      <c r="C91" s="304">
        <v>0.03</v>
      </c>
    </row>
    <row r="92" spans="1:6" ht="12" x14ac:dyDescent="0.25">
      <c r="A92" s="2" t="s">
        <v>560</v>
      </c>
      <c r="B92" s="2">
        <f>B91*(1+$C$91)</f>
        <v>4841</v>
      </c>
    </row>
    <row r="93" spans="1:6" ht="12" x14ac:dyDescent="0.25">
      <c r="A93" s="2" t="s">
        <v>566</v>
      </c>
      <c r="B93" s="2">
        <f>B92*(1+$C$91)</f>
        <v>4986.2300000000005</v>
      </c>
    </row>
    <row r="94" spans="1:6" ht="12" x14ac:dyDescent="0.25">
      <c r="A94" s="2"/>
    </row>
  </sheetData>
  <sheetProtection selectLockedCells="1" selectUnlockedCells="1"/>
  <phoneticPr fontId="40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3"/>
  <sheetViews>
    <sheetView tabSelected="1" topLeftCell="A12" zoomScale="184" zoomScaleNormal="184" workbookViewId="0">
      <selection activeCell="B5" sqref="B5"/>
    </sheetView>
  </sheetViews>
  <sheetFormatPr defaultColWidth="8.77734375" defaultRowHeight="13.8" x14ac:dyDescent="0.3"/>
  <cols>
    <col min="1" max="1" width="30.77734375" style="6" customWidth="1"/>
    <col min="2" max="2" width="22" style="6" customWidth="1"/>
    <col min="3" max="16384" width="8.77734375" style="6"/>
  </cols>
  <sheetData>
    <row r="1" spans="1:3" ht="15.6" x14ac:dyDescent="0.3">
      <c r="A1" s="275" t="s">
        <v>505</v>
      </c>
    </row>
    <row r="3" spans="1:3" x14ac:dyDescent="0.3">
      <c r="A3" s="6" t="s">
        <v>147</v>
      </c>
      <c r="B3" s="274">
        <v>90000</v>
      </c>
      <c r="C3" s="6" t="s">
        <v>547</v>
      </c>
    </row>
    <row r="4" spans="1:3" x14ac:dyDescent="0.3">
      <c r="A4" s="6" t="s">
        <v>361</v>
      </c>
      <c r="B4" s="274">
        <v>930000</v>
      </c>
      <c r="C4" s="6" t="s">
        <v>503</v>
      </c>
    </row>
    <row r="5" spans="1:3" x14ac:dyDescent="0.3">
      <c r="A5" s="6" t="s">
        <v>491</v>
      </c>
      <c r="B5" s="274" t="s">
        <v>572</v>
      </c>
    </row>
    <row r="6" spans="1:3" x14ac:dyDescent="0.3">
      <c r="A6" s="6" t="s">
        <v>510</v>
      </c>
      <c r="B6" s="274" t="s">
        <v>492</v>
      </c>
    </row>
    <row r="7" spans="1:3" x14ac:dyDescent="0.3">
      <c r="A7" s="6" t="s">
        <v>72</v>
      </c>
      <c r="B7" s="274" t="s">
        <v>519</v>
      </c>
    </row>
    <row r="8" spans="1:3" x14ac:dyDescent="0.3">
      <c r="A8" s="6" t="s">
        <v>493</v>
      </c>
      <c r="B8" s="274" t="s">
        <v>494</v>
      </c>
    </row>
    <row r="9" spans="1:3" x14ac:dyDescent="0.3">
      <c r="A9" s="6" t="s">
        <v>506</v>
      </c>
      <c r="B9" s="274" t="s">
        <v>507</v>
      </c>
    </row>
    <row r="10" spans="1:3" x14ac:dyDescent="0.3">
      <c r="A10" s="6" t="s">
        <v>495</v>
      </c>
      <c r="B10" s="274" t="s">
        <v>494</v>
      </c>
    </row>
    <row r="11" spans="1:3" x14ac:dyDescent="0.3">
      <c r="A11" s="6" t="s">
        <v>496</v>
      </c>
      <c r="B11" s="274" t="s">
        <v>508</v>
      </c>
    </row>
    <row r="12" spans="1:3" x14ac:dyDescent="0.3">
      <c r="A12" s="6" t="s">
        <v>497</v>
      </c>
      <c r="B12" s="274">
        <v>4700</v>
      </c>
      <c r="C12" s="6" t="s">
        <v>498</v>
      </c>
    </row>
    <row r="13" spans="1:3" x14ac:dyDescent="0.3">
      <c r="A13" s="6" t="s">
        <v>24</v>
      </c>
      <c r="B13" s="274" t="s">
        <v>499</v>
      </c>
    </row>
    <row r="15" spans="1:3" x14ac:dyDescent="0.3">
      <c r="A15" s="6" t="s">
        <v>500</v>
      </c>
      <c r="B15" s="274">
        <v>300000</v>
      </c>
    </row>
    <row r="16" spans="1:3" x14ac:dyDescent="0.3">
      <c r="A16" s="6" t="s">
        <v>509</v>
      </c>
      <c r="B16" s="6" t="s">
        <v>501</v>
      </c>
    </row>
    <row r="17" spans="1:3" x14ac:dyDescent="0.3">
      <c r="A17" s="6" t="s">
        <v>544</v>
      </c>
      <c r="B17" s="6">
        <v>270000</v>
      </c>
    </row>
    <row r="18" spans="1:3" x14ac:dyDescent="0.3">
      <c r="A18" s="6" t="s">
        <v>504</v>
      </c>
      <c r="B18" s="6" t="s">
        <v>502</v>
      </c>
    </row>
    <row r="20" spans="1:3" x14ac:dyDescent="0.3">
      <c r="A20" s="6" t="s">
        <v>516</v>
      </c>
      <c r="B20" s="6">
        <v>25000</v>
      </c>
      <c r="C20" s="6" t="s">
        <v>517</v>
      </c>
    </row>
    <row r="21" spans="1:3" x14ac:dyDescent="0.3">
      <c r="A21" s="6" t="s">
        <v>515</v>
      </c>
      <c r="B21" s="6">
        <v>21000</v>
      </c>
      <c r="C21" s="6" t="s">
        <v>517</v>
      </c>
    </row>
    <row r="22" spans="1:3" x14ac:dyDescent="0.3">
      <c r="A22" s="281"/>
    </row>
    <row r="23" spans="1:3" x14ac:dyDescent="0.3">
      <c r="A23" s="281" t="s">
        <v>579</v>
      </c>
      <c r="B23" s="6">
        <v>15000</v>
      </c>
      <c r="C23" s="6" t="s">
        <v>518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10039-B735-410F-A68E-29AB04E6F600}">
  <dimension ref="B1:M74"/>
  <sheetViews>
    <sheetView zoomScale="166" zoomScaleNormal="166" workbookViewId="0">
      <selection activeCell="C4" sqref="C4"/>
    </sheetView>
  </sheetViews>
  <sheetFormatPr defaultRowHeight="14.4" x14ac:dyDescent="0.3"/>
  <cols>
    <col min="2" max="2" width="15.109375" bestFit="1" customWidth="1"/>
    <col min="3" max="3" width="16.6640625" bestFit="1" customWidth="1"/>
    <col min="4" max="4" width="18.5546875" bestFit="1" customWidth="1"/>
    <col min="6" max="6" width="9.6640625" bestFit="1" customWidth="1"/>
    <col min="7" max="7" width="11" bestFit="1" customWidth="1"/>
  </cols>
  <sheetData>
    <row r="1" spans="2:13" x14ac:dyDescent="0.3">
      <c r="C1" s="6" t="s">
        <v>361</v>
      </c>
      <c r="K1" s="300"/>
    </row>
    <row r="2" spans="2:13" x14ac:dyDescent="0.3">
      <c r="B2" t="s">
        <v>188</v>
      </c>
      <c r="C2" s="274">
        <v>930000</v>
      </c>
      <c r="D2" s="6" t="s">
        <v>503</v>
      </c>
      <c r="E2" s="298">
        <v>0.05</v>
      </c>
    </row>
    <row r="3" spans="2:13" x14ac:dyDescent="0.3">
      <c r="B3" s="6" t="s">
        <v>558</v>
      </c>
      <c r="C3" s="274">
        <f>C2*(1+$E$2)</f>
        <v>976500</v>
      </c>
      <c r="D3" s="6"/>
      <c r="E3" s="298"/>
      <c r="I3" s="6"/>
    </row>
    <row r="4" spans="2:13" x14ac:dyDescent="0.3">
      <c r="B4" s="6" t="s">
        <v>559</v>
      </c>
      <c r="C4" s="274">
        <f>C3*(1+$E$2)</f>
        <v>1025325</v>
      </c>
      <c r="D4" s="6"/>
      <c r="E4" s="298"/>
      <c r="I4" s="6"/>
    </row>
    <row r="5" spans="2:13" x14ac:dyDescent="0.3">
      <c r="B5" s="6" t="s">
        <v>548</v>
      </c>
      <c r="C5" s="300">
        <v>0.8</v>
      </c>
      <c r="D5" s="274" t="s">
        <v>549</v>
      </c>
      <c r="E5" s="6" t="s">
        <v>550</v>
      </c>
    </row>
    <row r="6" spans="2:13" x14ac:dyDescent="0.3">
      <c r="B6" s="6" t="s">
        <v>551</v>
      </c>
      <c r="C6" s="300">
        <v>0.2</v>
      </c>
      <c r="D6" s="274" t="s">
        <v>552</v>
      </c>
      <c r="E6" s="6" t="s">
        <v>553</v>
      </c>
    </row>
    <row r="9" spans="2:13" x14ac:dyDescent="0.3">
      <c r="C9" s="342" t="s">
        <v>491</v>
      </c>
      <c r="D9" s="342"/>
      <c r="G9" s="342" t="s">
        <v>561</v>
      </c>
      <c r="H9" s="342"/>
      <c r="K9" s="342" t="s">
        <v>361</v>
      </c>
      <c r="L9" s="342"/>
    </row>
    <row r="10" spans="2:13" x14ac:dyDescent="0.3">
      <c r="C10" s="299" t="s">
        <v>554</v>
      </c>
      <c r="D10" s="299" t="s">
        <v>555</v>
      </c>
      <c r="G10" s="299" t="s">
        <v>556</v>
      </c>
      <c r="H10" s="299" t="s">
        <v>555</v>
      </c>
      <c r="K10" t="s">
        <v>554</v>
      </c>
      <c r="L10" t="s">
        <v>555</v>
      </c>
    </row>
    <row r="11" spans="2:13" x14ac:dyDescent="0.3">
      <c r="C11" s="301">
        <f>C2*C5/12</f>
        <v>62000</v>
      </c>
      <c r="D11" s="301"/>
      <c r="F11" t="s">
        <v>562</v>
      </c>
      <c r="G11">
        <f>C2*C6</f>
        <v>186000</v>
      </c>
      <c r="J11" t="s">
        <v>557</v>
      </c>
      <c r="L11">
        <f>G13+C12</f>
        <v>930000</v>
      </c>
    </row>
    <row r="12" spans="2:13" x14ac:dyDescent="0.3">
      <c r="B12" s="302" t="s">
        <v>557</v>
      </c>
      <c r="C12" s="302">
        <f>C11</f>
        <v>62000</v>
      </c>
      <c r="F12" t="s">
        <v>563</v>
      </c>
      <c r="G12" s="301">
        <f>C2*C5*11/12</f>
        <v>682000</v>
      </c>
      <c r="H12" s="301"/>
      <c r="J12" t="s">
        <v>560</v>
      </c>
      <c r="L12">
        <f>C16+G15+G16</f>
        <v>976500</v>
      </c>
    </row>
    <row r="13" spans="2:13" x14ac:dyDescent="0.3">
      <c r="D13">
        <f>C12</f>
        <v>62000</v>
      </c>
      <c r="F13" s="302" t="s">
        <v>557</v>
      </c>
      <c r="G13" s="302">
        <f>SUM(G11:G12)</f>
        <v>868000</v>
      </c>
      <c r="J13" t="s">
        <v>566</v>
      </c>
      <c r="L13">
        <f>C18+G20+G19</f>
        <v>1025325</v>
      </c>
    </row>
    <row r="14" spans="2:13" x14ac:dyDescent="0.3">
      <c r="C14" s="301">
        <f>C3*C5/12</f>
        <v>65100</v>
      </c>
      <c r="D14" s="301"/>
      <c r="F14" t="s">
        <v>565</v>
      </c>
      <c r="G14">
        <f>C12</f>
        <v>62000</v>
      </c>
      <c r="L14">
        <f>SUM(L11:L13)</f>
        <v>2931825</v>
      </c>
      <c r="M14" t="s">
        <v>86</v>
      </c>
    </row>
    <row r="15" spans="2:13" x14ac:dyDescent="0.3">
      <c r="C15">
        <f>SUM(C12:C14)</f>
        <v>127100</v>
      </c>
      <c r="D15">
        <f>SUM(D12:D14)</f>
        <v>62000</v>
      </c>
      <c r="F15" t="s">
        <v>564</v>
      </c>
      <c r="G15">
        <f>C3*C6</f>
        <v>195300</v>
      </c>
      <c r="L15">
        <f>G21+C20</f>
        <v>2931825</v>
      </c>
      <c r="M15" t="s">
        <v>567</v>
      </c>
    </row>
    <row r="16" spans="2:13" x14ac:dyDescent="0.3">
      <c r="B16" s="302" t="s">
        <v>560</v>
      </c>
      <c r="C16" s="302">
        <f>C15-D15</f>
        <v>65100</v>
      </c>
      <c r="F16" t="s">
        <v>563</v>
      </c>
      <c r="G16" s="301">
        <f>C3*C5*11/12</f>
        <v>716100</v>
      </c>
      <c r="H16" s="301"/>
    </row>
    <row r="17" spans="2:13" x14ac:dyDescent="0.3">
      <c r="D17">
        <f>C16</f>
        <v>65100</v>
      </c>
      <c r="F17" s="302" t="s">
        <v>560</v>
      </c>
      <c r="G17" s="302">
        <f>SUM(G13:G16)</f>
        <v>1841400</v>
      </c>
    </row>
    <row r="18" spans="2:13" x14ac:dyDescent="0.3">
      <c r="C18" s="301">
        <f>C4*C5/12</f>
        <v>68355</v>
      </c>
      <c r="D18" s="301"/>
      <c r="F18" t="s">
        <v>565</v>
      </c>
      <c r="G18">
        <f>D17</f>
        <v>65100</v>
      </c>
    </row>
    <row r="19" spans="2:13" x14ac:dyDescent="0.3">
      <c r="C19">
        <f>SUM(C16:C18)</f>
        <v>133455</v>
      </c>
      <c r="D19">
        <f>SUM(D16:D18)</f>
        <v>65100</v>
      </c>
      <c r="F19" t="s">
        <v>564</v>
      </c>
      <c r="G19">
        <f>C4*C6</f>
        <v>205065</v>
      </c>
    </row>
    <row r="20" spans="2:13" x14ac:dyDescent="0.3">
      <c r="B20" s="302" t="s">
        <v>566</v>
      </c>
      <c r="C20">
        <f>C19-D19</f>
        <v>68355</v>
      </c>
      <c r="F20" t="s">
        <v>563</v>
      </c>
      <c r="G20">
        <f>C4*C5*11/12</f>
        <v>751905</v>
      </c>
    </row>
    <row r="21" spans="2:13" x14ac:dyDescent="0.3">
      <c r="F21" s="302" t="s">
        <v>566</v>
      </c>
      <c r="G21">
        <f>SUM(G17:G20)</f>
        <v>2863470</v>
      </c>
    </row>
    <row r="24" spans="2:13" x14ac:dyDescent="0.3">
      <c r="B24" t="s">
        <v>23</v>
      </c>
      <c r="C24" s="300">
        <v>0.6</v>
      </c>
      <c r="D24" t="s">
        <v>361</v>
      </c>
      <c r="L24" t="s">
        <v>82</v>
      </c>
      <c r="M24" t="s">
        <v>567</v>
      </c>
    </row>
    <row r="25" spans="2:13" x14ac:dyDescent="0.3">
      <c r="C25" s="342" t="s">
        <v>23</v>
      </c>
      <c r="D25" s="342"/>
      <c r="G25" s="342" t="s">
        <v>568</v>
      </c>
      <c r="H25" s="342"/>
      <c r="K25" t="s">
        <v>557</v>
      </c>
      <c r="L25">
        <f>C2*$C$24</f>
        <v>558000</v>
      </c>
      <c r="M25">
        <f>D28+H28</f>
        <v>558000</v>
      </c>
    </row>
    <row r="26" spans="2:13" x14ac:dyDescent="0.3">
      <c r="C26" t="s">
        <v>554</v>
      </c>
      <c r="D26" t="s">
        <v>555</v>
      </c>
      <c r="G26" s="299" t="s">
        <v>556</v>
      </c>
      <c r="H26" s="299" t="s">
        <v>555</v>
      </c>
      <c r="K26" t="s">
        <v>560</v>
      </c>
      <c r="L26">
        <f t="shared" ref="L26:L27" si="0">C3*$C$24</f>
        <v>585900</v>
      </c>
      <c r="M26">
        <f>H30+D32</f>
        <v>585900</v>
      </c>
    </row>
    <row r="27" spans="2:13" x14ac:dyDescent="0.3">
      <c r="C27" s="301"/>
      <c r="D27" s="301">
        <f>C2*C24*(1.5/12)</f>
        <v>69750</v>
      </c>
      <c r="G27" s="301"/>
      <c r="H27" s="301">
        <f>C2*C24*10.5/12</f>
        <v>488250</v>
      </c>
      <c r="K27" t="s">
        <v>566</v>
      </c>
      <c r="L27">
        <f t="shared" si="0"/>
        <v>615195</v>
      </c>
      <c r="M27">
        <f>H33+D34</f>
        <v>615195</v>
      </c>
    </row>
    <row r="28" spans="2:13" x14ac:dyDescent="0.3">
      <c r="B28" s="302" t="s">
        <v>557</v>
      </c>
      <c r="D28">
        <f>SUM(D27)</f>
        <v>69750</v>
      </c>
      <c r="F28" s="302" t="s">
        <v>557</v>
      </c>
      <c r="H28">
        <f>SUM(H27)</f>
        <v>488250</v>
      </c>
      <c r="L28">
        <f>SUM(L25:L27)</f>
        <v>1759095</v>
      </c>
      <c r="M28" s="303">
        <f>H34+D36</f>
        <v>1759095</v>
      </c>
    </row>
    <row r="29" spans="2:13" x14ac:dyDescent="0.3">
      <c r="C29">
        <f>D28</f>
        <v>69750</v>
      </c>
      <c r="F29" t="s">
        <v>569</v>
      </c>
      <c r="H29">
        <f>C29</f>
        <v>69750</v>
      </c>
    </row>
    <row r="30" spans="2:13" x14ac:dyDescent="0.3">
      <c r="C30" s="301"/>
      <c r="D30" s="301">
        <f>C3*C24*1.5/12</f>
        <v>73237.5</v>
      </c>
      <c r="F30" t="s">
        <v>570</v>
      </c>
      <c r="G30" s="301"/>
      <c r="H30" s="301">
        <f>C3*C24*10.5/12</f>
        <v>512662.5</v>
      </c>
    </row>
    <row r="31" spans="2:13" x14ac:dyDescent="0.3">
      <c r="C31">
        <f>SUM(C28:C30)</f>
        <v>69750</v>
      </c>
      <c r="D31">
        <f>SUM(D28:D30)</f>
        <v>142987.5</v>
      </c>
      <c r="F31" s="302" t="s">
        <v>560</v>
      </c>
      <c r="H31">
        <f>SUM(H28:H30)</f>
        <v>1070662.5</v>
      </c>
    </row>
    <row r="32" spans="2:13" x14ac:dyDescent="0.3">
      <c r="B32" s="302" t="s">
        <v>560</v>
      </c>
      <c r="D32">
        <f>D31-C31</f>
        <v>73237.5</v>
      </c>
      <c r="F32" t="s">
        <v>569</v>
      </c>
      <c r="H32">
        <f>D32</f>
        <v>73237.5</v>
      </c>
    </row>
    <row r="33" spans="2:8" x14ac:dyDescent="0.3">
      <c r="C33">
        <f>D32</f>
        <v>73237.5</v>
      </c>
      <c r="F33" t="s">
        <v>570</v>
      </c>
      <c r="G33" s="301"/>
      <c r="H33" s="301">
        <f>C4*C24*10.5/12</f>
        <v>538295.625</v>
      </c>
    </row>
    <row r="34" spans="2:8" x14ac:dyDescent="0.3">
      <c r="C34" s="301"/>
      <c r="D34" s="301">
        <f>C4*C24*1.5/12</f>
        <v>76899.375</v>
      </c>
      <c r="F34" s="302" t="s">
        <v>566</v>
      </c>
      <c r="H34">
        <f>SUM(H31:H33)</f>
        <v>1682195.625</v>
      </c>
    </row>
    <row r="35" spans="2:8" x14ac:dyDescent="0.3">
      <c r="C35">
        <f>SUM(C32:C34)</f>
        <v>73237.5</v>
      </c>
      <c r="D35">
        <f>SUM(D32:D34)</f>
        <v>150136.875</v>
      </c>
    </row>
    <row r="36" spans="2:8" x14ac:dyDescent="0.3">
      <c r="B36" s="302" t="s">
        <v>566</v>
      </c>
      <c r="D36">
        <f>D35-C35</f>
        <v>76899.375</v>
      </c>
    </row>
    <row r="40" spans="2:8" x14ac:dyDescent="0.3">
      <c r="D40">
        <v>55</v>
      </c>
    </row>
    <row r="41" spans="2:8" x14ac:dyDescent="0.3">
      <c r="C41" s="342" t="s">
        <v>13</v>
      </c>
      <c r="D41" s="342"/>
    </row>
    <row r="42" spans="2:8" x14ac:dyDescent="0.3">
      <c r="C42" s="305" t="s">
        <v>554</v>
      </c>
      <c r="D42" s="305" t="s">
        <v>555</v>
      </c>
    </row>
    <row r="43" spans="2:8" x14ac:dyDescent="0.3">
      <c r="B43" t="s">
        <v>147</v>
      </c>
      <c r="C43" s="3">
        <f>OPGAVE!B3</f>
        <v>90000</v>
      </c>
    </row>
    <row r="44" spans="2:8" x14ac:dyDescent="0.3">
      <c r="B44" t="s">
        <v>563</v>
      </c>
      <c r="C44">
        <f>G13</f>
        <v>868000</v>
      </c>
    </row>
    <row r="45" spans="2:8" x14ac:dyDescent="0.3">
      <c r="B45" t="s">
        <v>579</v>
      </c>
      <c r="C45">
        <v>15000</v>
      </c>
    </row>
    <row r="46" spans="2:8" x14ac:dyDescent="0.3">
      <c r="B46" t="s">
        <v>573</v>
      </c>
      <c r="D46">
        <f>OPGAVE!B15*DETAILS!C83</f>
        <v>30000</v>
      </c>
    </row>
    <row r="47" spans="2:8" x14ac:dyDescent="0.3">
      <c r="B47" t="s">
        <v>574</v>
      </c>
      <c r="D47" s="3">
        <f>OPGAVE!B20+OPGAVE!B21</f>
        <v>46000</v>
      </c>
    </row>
    <row r="48" spans="2:8" x14ac:dyDescent="0.3">
      <c r="B48" t="s">
        <v>570</v>
      </c>
      <c r="D48">
        <f>H28</f>
        <v>488250</v>
      </c>
    </row>
    <row r="49" spans="2:4" x14ac:dyDescent="0.3">
      <c r="B49" t="s">
        <v>83</v>
      </c>
      <c r="D49" s="3">
        <f>DETAILS!B54</f>
        <v>178523.2</v>
      </c>
    </row>
    <row r="50" spans="2:4" x14ac:dyDescent="0.3">
      <c r="B50" t="s">
        <v>575</v>
      </c>
      <c r="D50" s="3">
        <f>DETAILS!B74</f>
        <v>86195.631999999998</v>
      </c>
    </row>
    <row r="51" spans="2:4" x14ac:dyDescent="0.3">
      <c r="B51" t="s">
        <v>497</v>
      </c>
      <c r="D51" s="3">
        <f>DETAILS!B91</f>
        <v>4700</v>
      </c>
    </row>
    <row r="52" spans="2:4" x14ac:dyDescent="0.3">
      <c r="B52" t="s">
        <v>544</v>
      </c>
      <c r="C52" s="301"/>
      <c r="D52" s="301">
        <f>Aflossingstabel!J13</f>
        <v>31501.458026005337</v>
      </c>
    </row>
    <row r="53" spans="2:4" x14ac:dyDescent="0.3">
      <c r="C53" s="3">
        <f>SUM(C43:C52)</f>
        <v>973000</v>
      </c>
      <c r="D53" s="308">
        <f>SUM(D43:D52)</f>
        <v>865170.29002600524</v>
      </c>
    </row>
    <row r="54" spans="2:4" x14ac:dyDescent="0.3">
      <c r="B54" s="302" t="s">
        <v>557</v>
      </c>
      <c r="C54" s="306">
        <f>C53-D53</f>
        <v>107829.70997399476</v>
      </c>
    </row>
    <row r="55" spans="2:4" x14ac:dyDescent="0.3">
      <c r="B55" s="302"/>
      <c r="C55" s="306"/>
    </row>
    <row r="56" spans="2:4" x14ac:dyDescent="0.3">
      <c r="B56" s="302"/>
      <c r="C56" s="306"/>
    </row>
    <row r="57" spans="2:4" x14ac:dyDescent="0.3">
      <c r="B57" t="s">
        <v>563</v>
      </c>
      <c r="C57">
        <f>SUM(G14:G16)</f>
        <v>973400</v>
      </c>
    </row>
    <row r="58" spans="2:4" x14ac:dyDescent="0.3">
      <c r="B58" t="s">
        <v>570</v>
      </c>
      <c r="D58">
        <f>SUM(H29:H30)</f>
        <v>582412.5</v>
      </c>
    </row>
    <row r="59" spans="2:4" x14ac:dyDescent="0.3">
      <c r="B59" t="s">
        <v>83</v>
      </c>
      <c r="D59" s="3">
        <f>DETAILS!C54</f>
        <v>185711.52000000002</v>
      </c>
    </row>
    <row r="60" spans="2:4" x14ac:dyDescent="0.3">
      <c r="B60" t="s">
        <v>575</v>
      </c>
      <c r="D60" s="3">
        <f>DETAILS!C74</f>
        <v>87919.544639999993</v>
      </c>
    </row>
    <row r="61" spans="2:4" x14ac:dyDescent="0.3">
      <c r="B61" t="s">
        <v>497</v>
      </c>
      <c r="D61" s="3">
        <f>DETAILS!B92</f>
        <v>4841</v>
      </c>
    </row>
    <row r="62" spans="2:4" x14ac:dyDescent="0.3">
      <c r="B62" t="s">
        <v>544</v>
      </c>
      <c r="D62" s="308">
        <f>Aflossingstabel!J14</f>
        <v>34365.226937460371</v>
      </c>
    </row>
    <row r="63" spans="2:4" x14ac:dyDescent="0.3">
      <c r="B63" t="s">
        <v>578</v>
      </c>
      <c r="C63" s="301"/>
      <c r="D63" s="309">
        <f>RESULTAAT!B52</f>
        <v>15649.924647278269</v>
      </c>
    </row>
    <row r="64" spans="2:4" x14ac:dyDescent="0.3">
      <c r="C64" s="3">
        <f>SUM(C54:C63)</f>
        <v>1081229.7099739946</v>
      </c>
      <c r="D64">
        <f>SUM(D54:D63)</f>
        <v>910899.71622473863</v>
      </c>
    </row>
    <row r="65" spans="2:4" x14ac:dyDescent="0.3">
      <c r="B65" s="302" t="s">
        <v>560</v>
      </c>
      <c r="C65" s="306">
        <f>C64-D64</f>
        <v>170329.99374925601</v>
      </c>
    </row>
    <row r="66" spans="2:4" x14ac:dyDescent="0.3">
      <c r="B66" t="s">
        <v>563</v>
      </c>
      <c r="C66">
        <f>SUM(G18:G20)</f>
        <v>1022070</v>
      </c>
    </row>
    <row r="67" spans="2:4" x14ac:dyDescent="0.3">
      <c r="B67" t="s">
        <v>570</v>
      </c>
      <c r="D67" s="307">
        <f>SUM(H32:H33)</f>
        <v>611533.125</v>
      </c>
    </row>
    <row r="68" spans="2:4" x14ac:dyDescent="0.3">
      <c r="B68" t="s">
        <v>83</v>
      </c>
      <c r="D68" s="3">
        <f>DETAILS!D54</f>
        <v>193845.64200000002</v>
      </c>
    </row>
    <row r="69" spans="2:4" x14ac:dyDescent="0.3">
      <c r="B69" t="s">
        <v>575</v>
      </c>
      <c r="D69" s="3">
        <f>DETAILS!D74</f>
        <v>89677.935532800009</v>
      </c>
    </row>
    <row r="70" spans="2:4" x14ac:dyDescent="0.3">
      <c r="B70" t="s">
        <v>497</v>
      </c>
      <c r="D70" s="3">
        <f>DETAILS!B93</f>
        <v>4986.2300000000005</v>
      </c>
    </row>
    <row r="71" spans="2:4" x14ac:dyDescent="0.3">
      <c r="B71" t="s">
        <v>544</v>
      </c>
      <c r="D71" s="308">
        <f>Aflossingstabel!J15</f>
        <v>34365.226937460371</v>
      </c>
    </row>
    <row r="72" spans="2:4" x14ac:dyDescent="0.3">
      <c r="B72" t="s">
        <v>578</v>
      </c>
      <c r="C72" s="301"/>
      <c r="D72" s="311">
        <f>RESULTAAT!C52</f>
        <v>14550.526980171671</v>
      </c>
    </row>
    <row r="73" spans="2:4" x14ac:dyDescent="0.3">
      <c r="B73" s="302" t="s">
        <v>566</v>
      </c>
      <c r="C73" s="3">
        <f>SUM(C65:C71)</f>
        <v>1192399.993749256</v>
      </c>
      <c r="D73">
        <f>SUM(D65:D72)</f>
        <v>948958.68645043205</v>
      </c>
    </row>
    <row r="74" spans="2:4" x14ac:dyDescent="0.3">
      <c r="C74" s="313">
        <f>C73-D73</f>
        <v>243441.30729882396</v>
      </c>
    </row>
  </sheetData>
  <mergeCells count="6">
    <mergeCell ref="C41:D41"/>
    <mergeCell ref="C9:D9"/>
    <mergeCell ref="G9:H9"/>
    <mergeCell ref="K9:L9"/>
    <mergeCell ref="C25:D25"/>
    <mergeCell ref="G25:H25"/>
  </mergeCells>
  <phoneticPr fontId="4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3E8D-0D73-4360-BB12-A187E64A21F9}">
  <dimension ref="A1:L134"/>
  <sheetViews>
    <sheetView workbookViewId="0">
      <pane ySplit="12" topLeftCell="A20" activePane="bottomLeft" state="frozen"/>
      <selection pane="bottomLeft" activeCell="E5" sqref="E5"/>
    </sheetView>
  </sheetViews>
  <sheetFormatPr defaultRowHeight="14.4" x14ac:dyDescent="0.3"/>
  <cols>
    <col min="1" max="1" width="21.109375" customWidth="1"/>
    <col min="2" max="2" width="14" customWidth="1"/>
    <col min="3" max="3" width="16" customWidth="1"/>
    <col min="4" max="5" width="14" customWidth="1"/>
    <col min="6" max="6" width="14.77734375" bestFit="1" customWidth="1"/>
    <col min="7" max="7" width="16" customWidth="1"/>
    <col min="9" max="9" width="17.21875" bestFit="1" customWidth="1"/>
    <col min="10" max="10" width="14.6640625" bestFit="1" customWidth="1"/>
    <col min="11" max="11" width="13.6640625" bestFit="1" customWidth="1"/>
    <col min="12" max="12" width="14.6640625" bestFit="1" customWidth="1"/>
  </cols>
  <sheetData>
    <row r="1" spans="1:12" ht="18" x14ac:dyDescent="0.35">
      <c r="A1" s="282" t="s">
        <v>521</v>
      </c>
    </row>
    <row r="2" spans="1:12" ht="15.6" x14ac:dyDescent="0.3">
      <c r="I2" s="293" t="s">
        <v>536</v>
      </c>
    </row>
    <row r="3" spans="1:12" x14ac:dyDescent="0.3">
      <c r="A3" s="283" t="s">
        <v>522</v>
      </c>
      <c r="B3" s="284">
        <v>270000</v>
      </c>
      <c r="I3" s="288" t="s">
        <v>537</v>
      </c>
      <c r="J3" s="284">
        <f>SUM($D$14:$D$133)</f>
        <v>343652.26937460451</v>
      </c>
    </row>
    <row r="4" spans="1:12" x14ac:dyDescent="0.3">
      <c r="A4" s="283" t="s">
        <v>523</v>
      </c>
      <c r="B4" s="285">
        <v>0.05</v>
      </c>
      <c r="D4" s="320" t="s">
        <v>584</v>
      </c>
      <c r="E4" s="320" t="s">
        <v>582</v>
      </c>
      <c r="F4" s="321">
        <f>PMT(0.05/12, 120,- 270000)</f>
        <v>2863.7689114550312</v>
      </c>
      <c r="I4" s="288" t="s">
        <v>538</v>
      </c>
      <c r="J4" s="284">
        <f>SUM($E$14:$E$133)</f>
        <v>73652.269374603769</v>
      </c>
    </row>
    <row r="5" spans="1:12" x14ac:dyDescent="0.3">
      <c r="A5" s="283" t="s">
        <v>524</v>
      </c>
      <c r="B5" s="19">
        <v>5</v>
      </c>
      <c r="D5" s="320"/>
      <c r="E5" s="320" t="s">
        <v>583</v>
      </c>
      <c r="F5" s="320"/>
      <c r="I5" s="288" t="s">
        <v>539</v>
      </c>
      <c r="J5" s="284">
        <f>SUM($F$14:$F$133)</f>
        <v>270000.00000000012</v>
      </c>
    </row>
    <row r="6" spans="1:12" x14ac:dyDescent="0.3">
      <c r="A6" s="283" t="s">
        <v>525</v>
      </c>
      <c r="B6" s="286">
        <v>45658</v>
      </c>
    </row>
    <row r="7" spans="1:12" x14ac:dyDescent="0.3">
      <c r="A7" s="283" t="s">
        <v>526</v>
      </c>
      <c r="B7" s="286">
        <v>45689</v>
      </c>
    </row>
    <row r="8" spans="1:12" x14ac:dyDescent="0.3">
      <c r="A8" s="283" t="s">
        <v>527</v>
      </c>
      <c r="B8" s="19">
        <f>B5*12</f>
        <v>60</v>
      </c>
    </row>
    <row r="9" spans="1:12" x14ac:dyDescent="0.3">
      <c r="A9" s="283" t="s">
        <v>528</v>
      </c>
      <c r="B9" s="287">
        <f>B4/12</f>
        <v>4.1666666666666666E-3</v>
      </c>
    </row>
    <row r="10" spans="1:12" x14ac:dyDescent="0.3">
      <c r="A10" s="283" t="s">
        <v>529</v>
      </c>
      <c r="B10" s="284">
        <f>-PMT(B9,B8,B3)</f>
        <v>5095.2330838829521</v>
      </c>
    </row>
    <row r="12" spans="1:12" x14ac:dyDescent="0.3">
      <c r="A12" s="289" t="s">
        <v>530</v>
      </c>
      <c r="B12" s="289" t="s">
        <v>531</v>
      </c>
      <c r="C12" s="289" t="s">
        <v>532</v>
      </c>
      <c r="D12" s="289" t="s">
        <v>533</v>
      </c>
      <c r="E12" s="289" t="s">
        <v>282</v>
      </c>
      <c r="F12" s="289" t="s">
        <v>534</v>
      </c>
      <c r="G12" s="289" t="s">
        <v>535</v>
      </c>
      <c r="I12" t="s">
        <v>540</v>
      </c>
      <c r="J12" s="289" t="s">
        <v>533</v>
      </c>
      <c r="K12" s="289" t="s">
        <v>282</v>
      </c>
      <c r="L12" s="289" t="s">
        <v>534</v>
      </c>
    </row>
    <row r="13" spans="1:12" x14ac:dyDescent="0.3">
      <c r="A13" s="290">
        <f t="shared" ref="A13:A73" si="0">IF(ROW()-13&gt;$B$8,"",ROW()-13)</f>
        <v>0</v>
      </c>
      <c r="B13" s="291">
        <f t="shared" ref="B13:B76" si="1">IF($A13="","",EDATE($B$7,$A13-1))</f>
        <v>45658</v>
      </c>
      <c r="C13" s="292">
        <v>270000</v>
      </c>
      <c r="D13" s="292"/>
      <c r="E13" s="292"/>
      <c r="F13" s="292"/>
      <c r="G13" s="292"/>
      <c r="I13" t="s">
        <v>99</v>
      </c>
      <c r="J13" s="284">
        <f>SUM(D14:D24)</f>
        <v>31501.458026005337</v>
      </c>
      <c r="K13" s="284">
        <f>SUM(E14:E24)+E25*(30/31)</f>
        <v>12981.469410886984</v>
      </c>
      <c r="L13" s="284">
        <f>SUM(F14:F24)</f>
        <v>19529.948500198203</v>
      </c>
    </row>
    <row r="14" spans="1:12" x14ac:dyDescent="0.3">
      <c r="A14" s="290">
        <f t="shared" si="0"/>
        <v>1</v>
      </c>
      <c r="B14" s="291">
        <f t="shared" si="1"/>
        <v>45689</v>
      </c>
      <c r="C14" s="292">
        <f>IF($A13="","",$B$3)</f>
        <v>270000</v>
      </c>
      <c r="D14" s="321">
        <f>PMT(0.05/12, 120,- 270000)</f>
        <v>2863.7689114550312</v>
      </c>
      <c r="E14" s="295">
        <f>C14*$B$9</f>
        <v>1125</v>
      </c>
      <c r="F14" s="295">
        <f t="shared" ref="F14:F45" si="2">IF($A13="","",$D14-$E14)</f>
        <v>1738.7689114550312</v>
      </c>
      <c r="G14" s="292">
        <f t="shared" ref="G14:G45" si="3">IF($A13="","",MAX(0,$C14-$F14))</f>
        <v>268261.23108854494</v>
      </c>
      <c r="I14" t="s">
        <v>100</v>
      </c>
      <c r="J14" s="284">
        <f>SUM(D25:D36)</f>
        <v>34365.226937460371</v>
      </c>
      <c r="K14" s="284">
        <f>(E25/31)+SUM(E26:E36)+(E37*30/31)</f>
        <v>11925.827439313314</v>
      </c>
      <c r="L14" s="284">
        <f>SUM(F25:F36)</f>
        <v>22349.281427873371</v>
      </c>
    </row>
    <row r="15" spans="1:12" x14ac:dyDescent="0.3">
      <c r="A15" s="290">
        <f t="shared" si="0"/>
        <v>2</v>
      </c>
      <c r="B15" s="291">
        <f t="shared" si="1"/>
        <v>45717</v>
      </c>
      <c r="C15" s="292">
        <f t="shared" ref="C15:C46" si="4">IF($A14="","",$G14)</f>
        <v>268261.23108854494</v>
      </c>
      <c r="D15" s="321">
        <f t="shared" ref="D15:D78" si="5">PMT(0.05/12, 120,- 270000)</f>
        <v>2863.7689114550312</v>
      </c>
      <c r="E15" s="295">
        <f t="shared" ref="E15:E45" si="6">IF($A14="","",$C15*$B$9)</f>
        <v>1117.7551295356038</v>
      </c>
      <c r="F15" s="295">
        <f t="shared" si="2"/>
        <v>1746.0137819194274</v>
      </c>
      <c r="G15" s="292">
        <f t="shared" si="3"/>
        <v>266515.21730662551</v>
      </c>
      <c r="I15" t="s">
        <v>179</v>
      </c>
      <c r="J15" s="284">
        <f>SUM(D37:D48)</f>
        <v>34365.226937460371</v>
      </c>
      <c r="K15" s="284">
        <f>E37/31+SUM(E38:E48)+E49*(30/31)</f>
        <v>10777.785173661705</v>
      </c>
      <c r="L15" s="284">
        <f>SUM(F37:F48)</f>
        <v>23492.713082016344</v>
      </c>
    </row>
    <row r="16" spans="1:12" x14ac:dyDescent="0.3">
      <c r="A16" s="290">
        <f t="shared" si="0"/>
        <v>3</v>
      </c>
      <c r="B16" s="291">
        <f t="shared" si="1"/>
        <v>45748</v>
      </c>
      <c r="C16" s="292">
        <f t="shared" si="4"/>
        <v>266515.21730662551</v>
      </c>
      <c r="D16" s="321">
        <f t="shared" si="5"/>
        <v>2863.7689114550312</v>
      </c>
      <c r="E16" s="295">
        <f t="shared" si="6"/>
        <v>1110.4800721109395</v>
      </c>
      <c r="F16" s="295">
        <f t="shared" si="2"/>
        <v>1753.2888393440917</v>
      </c>
      <c r="G16" s="292">
        <f t="shared" si="3"/>
        <v>264761.9284672814</v>
      </c>
      <c r="I16" t="s">
        <v>541</v>
      </c>
      <c r="J16" s="284">
        <f>SUM(D49:D60)</f>
        <v>34365.226937460371</v>
      </c>
      <c r="K16" s="284">
        <f>E49/31 +SUM(E50:E60)+E61*(30/31)</f>
        <v>9571.0068868509079</v>
      </c>
      <c r="L16" s="284">
        <f>SUM(F49:F60)</f>
        <v>24694.644869683325</v>
      </c>
    </row>
    <row r="17" spans="1:12" x14ac:dyDescent="0.3">
      <c r="A17" s="290">
        <f t="shared" si="0"/>
        <v>4</v>
      </c>
      <c r="B17" s="291">
        <f t="shared" si="1"/>
        <v>45778</v>
      </c>
      <c r="C17" s="292">
        <f t="shared" si="4"/>
        <v>264761.9284672814</v>
      </c>
      <c r="D17" s="321">
        <f t="shared" si="5"/>
        <v>2863.7689114550312</v>
      </c>
      <c r="E17" s="295">
        <f t="shared" si="6"/>
        <v>1103.1747019470058</v>
      </c>
      <c r="F17" s="295">
        <f t="shared" si="2"/>
        <v>1760.5942095080254</v>
      </c>
      <c r="G17" s="292">
        <f t="shared" si="3"/>
        <v>263001.33425777336</v>
      </c>
      <c r="I17" t="s">
        <v>542</v>
      </c>
      <c r="J17" s="284">
        <f>SUM(D61:D72)</f>
        <v>34365.226937460371</v>
      </c>
      <c r="K17" s="284">
        <f>E61/31+SUM(E62:E72)+E73*(30/31)</f>
        <v>8302.4875325644061</v>
      </c>
      <c r="L17" s="284">
        <f>SUM(F61:F72)</f>
        <v>25958.069768731726</v>
      </c>
    </row>
    <row r="18" spans="1:12" x14ac:dyDescent="0.3">
      <c r="A18" s="290">
        <f t="shared" si="0"/>
        <v>5</v>
      </c>
      <c r="B18" s="291">
        <f t="shared" si="1"/>
        <v>45809</v>
      </c>
      <c r="C18" s="292">
        <f t="shared" si="4"/>
        <v>263001.33425777336</v>
      </c>
      <c r="D18" s="321">
        <f t="shared" si="5"/>
        <v>2863.7689114550312</v>
      </c>
      <c r="E18" s="295">
        <f t="shared" si="6"/>
        <v>1095.8388927407223</v>
      </c>
      <c r="F18" s="295">
        <f t="shared" si="2"/>
        <v>1767.930018714309</v>
      </c>
      <c r="G18" s="292">
        <f t="shared" si="3"/>
        <v>261233.40423905905</v>
      </c>
      <c r="I18" t="s">
        <v>543</v>
      </c>
      <c r="J18" s="284">
        <f>D73</f>
        <v>2863.7689114550312</v>
      </c>
      <c r="K18" s="297">
        <f>E73/31</f>
        <v>20.695610531115193</v>
      </c>
      <c r="L18" s="284">
        <f>F73</f>
        <v>2222.2049849904602</v>
      </c>
    </row>
    <row r="19" spans="1:12" x14ac:dyDescent="0.3">
      <c r="A19" s="290">
        <f t="shared" si="0"/>
        <v>6</v>
      </c>
      <c r="B19" s="291">
        <f t="shared" si="1"/>
        <v>45839</v>
      </c>
      <c r="C19" s="292">
        <f t="shared" si="4"/>
        <v>261233.40423905905</v>
      </c>
      <c r="D19" s="321">
        <f t="shared" si="5"/>
        <v>2863.7689114550312</v>
      </c>
      <c r="E19" s="295">
        <f t="shared" si="6"/>
        <v>1088.472517662746</v>
      </c>
      <c r="F19" s="295">
        <f t="shared" si="2"/>
        <v>1775.2963937922852</v>
      </c>
      <c r="G19" s="292">
        <f t="shared" si="3"/>
        <v>259458.10784526676</v>
      </c>
      <c r="J19" s="284">
        <f>SUM(J13:J18)</f>
        <v>171826.13468730185</v>
      </c>
      <c r="K19" s="284">
        <f>SUM(K13:K18)</f>
        <v>53579.272053808447</v>
      </c>
      <c r="L19" s="284">
        <f>SUM(L13:L18)</f>
        <v>118246.86263349344</v>
      </c>
    </row>
    <row r="20" spans="1:12" x14ac:dyDescent="0.3">
      <c r="A20" s="290">
        <f t="shared" si="0"/>
        <v>7</v>
      </c>
      <c r="B20" s="291">
        <f t="shared" si="1"/>
        <v>45870</v>
      </c>
      <c r="C20" s="292">
        <f t="shared" si="4"/>
        <v>259458.10784526676</v>
      </c>
      <c r="D20" s="321">
        <f t="shared" si="5"/>
        <v>2863.7689114550312</v>
      </c>
      <c r="E20" s="295">
        <f t="shared" si="6"/>
        <v>1081.0754493552781</v>
      </c>
      <c r="F20" s="295">
        <f t="shared" si="2"/>
        <v>1782.6934620997531</v>
      </c>
      <c r="G20" s="292">
        <f t="shared" si="3"/>
        <v>257675.41438316699</v>
      </c>
      <c r="I20" t="s">
        <v>544</v>
      </c>
      <c r="J20" s="297">
        <f>J19-K19</f>
        <v>118246.86263349341</v>
      </c>
    </row>
    <row r="21" spans="1:12" x14ac:dyDescent="0.3">
      <c r="A21" s="290">
        <f t="shared" si="0"/>
        <v>8</v>
      </c>
      <c r="B21" s="291">
        <f t="shared" si="1"/>
        <v>45901</v>
      </c>
      <c r="C21" s="292">
        <f t="shared" si="4"/>
        <v>257675.41438316699</v>
      </c>
      <c r="D21" s="321">
        <f t="shared" si="5"/>
        <v>2863.7689114550312</v>
      </c>
      <c r="E21" s="295">
        <f>IF($A20="","",$C21*$B$9)</f>
        <v>1073.6475599298624</v>
      </c>
      <c r="F21" s="295">
        <f t="shared" si="2"/>
        <v>1790.1213515251688</v>
      </c>
      <c r="G21" s="292">
        <f t="shared" si="3"/>
        <v>255885.29303164184</v>
      </c>
    </row>
    <row r="22" spans="1:12" x14ac:dyDescent="0.3">
      <c r="A22" s="290">
        <f t="shared" si="0"/>
        <v>9</v>
      </c>
      <c r="B22" s="291">
        <f t="shared" si="1"/>
        <v>45931</v>
      </c>
      <c r="C22" s="292">
        <f t="shared" si="4"/>
        <v>255885.29303164184</v>
      </c>
      <c r="D22" s="321">
        <f t="shared" si="5"/>
        <v>2863.7689114550312</v>
      </c>
      <c r="E22" s="295">
        <f t="shared" si="6"/>
        <v>1066.1887209651743</v>
      </c>
      <c r="F22" s="295">
        <f t="shared" si="2"/>
        <v>1797.5801904898569</v>
      </c>
      <c r="G22" s="292">
        <f t="shared" si="3"/>
        <v>254087.71284115198</v>
      </c>
      <c r="J22" s="294"/>
    </row>
    <row r="23" spans="1:12" x14ac:dyDescent="0.3">
      <c r="A23" s="290">
        <f t="shared" si="0"/>
        <v>10</v>
      </c>
      <c r="B23" s="291">
        <f t="shared" si="1"/>
        <v>45962</v>
      </c>
      <c r="C23" s="292">
        <f t="shared" si="4"/>
        <v>254087.71284115198</v>
      </c>
      <c r="D23" s="321">
        <f t="shared" si="5"/>
        <v>2863.7689114550312</v>
      </c>
      <c r="E23" s="295">
        <f t="shared" si="6"/>
        <v>1058.6988035047998</v>
      </c>
      <c r="F23" s="295">
        <f t="shared" si="2"/>
        <v>1805.0701079502314</v>
      </c>
      <c r="G23" s="292">
        <f t="shared" si="3"/>
        <v>252282.64273320176</v>
      </c>
      <c r="J23">
        <v>173000</v>
      </c>
      <c r="K23">
        <v>423000</v>
      </c>
    </row>
    <row r="24" spans="1:12" x14ac:dyDescent="0.3">
      <c r="A24" s="290">
        <f t="shared" si="0"/>
        <v>11</v>
      </c>
      <c r="B24" s="291">
        <f t="shared" si="1"/>
        <v>45992</v>
      </c>
      <c r="C24" s="292">
        <f t="shared" si="4"/>
        <v>252282.64273320176</v>
      </c>
      <c r="D24" s="321">
        <f t="shared" si="5"/>
        <v>2863.7689114550312</v>
      </c>
      <c r="E24" s="295">
        <f t="shared" si="6"/>
        <v>1051.1776780550074</v>
      </c>
      <c r="F24" s="295">
        <f t="shared" si="2"/>
        <v>1812.5912334000238</v>
      </c>
      <c r="G24" s="292">
        <f t="shared" si="3"/>
        <v>250470.05149980175</v>
      </c>
      <c r="J24">
        <v>270000</v>
      </c>
    </row>
    <row r="25" spans="1:12" x14ac:dyDescent="0.3">
      <c r="A25" s="290">
        <f t="shared" si="0"/>
        <v>12</v>
      </c>
      <c r="B25" s="291">
        <f t="shared" si="1"/>
        <v>46023</v>
      </c>
      <c r="C25" s="292">
        <f t="shared" si="4"/>
        <v>250470.05149980175</v>
      </c>
      <c r="D25" s="321">
        <f t="shared" si="5"/>
        <v>2863.7689114550312</v>
      </c>
      <c r="E25" s="296">
        <f t="shared" si="6"/>
        <v>1043.6252145825072</v>
      </c>
      <c r="F25" s="296">
        <f t="shared" si="2"/>
        <v>1820.1436968725241</v>
      </c>
      <c r="G25" s="292">
        <f t="shared" si="3"/>
        <v>248649.90780292923</v>
      </c>
      <c r="I25" t="s">
        <v>99</v>
      </c>
      <c r="J25" s="297">
        <f>J24-L13-L14</f>
        <v>228120.77007192845</v>
      </c>
      <c r="K25" s="284">
        <f>L14</f>
        <v>22349.281427873371</v>
      </c>
    </row>
    <row r="26" spans="1:12" x14ac:dyDescent="0.3">
      <c r="A26" s="290">
        <f t="shared" si="0"/>
        <v>13</v>
      </c>
      <c r="B26" s="291">
        <f t="shared" si="1"/>
        <v>46054</v>
      </c>
      <c r="C26" s="292">
        <f t="shared" si="4"/>
        <v>248649.90780292923</v>
      </c>
      <c r="D26" s="321">
        <f t="shared" si="5"/>
        <v>2863.7689114550312</v>
      </c>
      <c r="E26" s="296">
        <f t="shared" si="6"/>
        <v>1036.041282512205</v>
      </c>
      <c r="F26" s="296">
        <f t="shared" si="2"/>
        <v>1827.7276289428262</v>
      </c>
      <c r="G26" s="292">
        <f t="shared" si="3"/>
        <v>246822.18017398642</v>
      </c>
      <c r="I26" t="s">
        <v>100</v>
      </c>
      <c r="J26" s="297">
        <f>J25-K26</f>
        <v>204628.05698991212</v>
      </c>
      <c r="K26" s="284">
        <f t="shared" ref="K26:K29" si="7">L15</f>
        <v>23492.713082016344</v>
      </c>
    </row>
    <row r="27" spans="1:12" x14ac:dyDescent="0.3">
      <c r="A27" s="290">
        <f t="shared" si="0"/>
        <v>14</v>
      </c>
      <c r="B27" s="291">
        <f t="shared" si="1"/>
        <v>46082</v>
      </c>
      <c r="C27" s="292">
        <f t="shared" si="4"/>
        <v>246822.18017398642</v>
      </c>
      <c r="D27" s="321">
        <f t="shared" si="5"/>
        <v>2863.7689114550312</v>
      </c>
      <c r="E27" s="296">
        <f t="shared" si="6"/>
        <v>1028.4257507249433</v>
      </c>
      <c r="F27" s="296">
        <f t="shared" si="2"/>
        <v>1835.3431607300879</v>
      </c>
      <c r="G27" s="292">
        <f t="shared" si="3"/>
        <v>244986.83701325633</v>
      </c>
      <c r="I27" t="s">
        <v>179</v>
      </c>
      <c r="J27" s="297">
        <f>J26-K27</f>
        <v>179933.41212022881</v>
      </c>
      <c r="K27" s="284">
        <f t="shared" si="7"/>
        <v>24694.644869683325</v>
      </c>
    </row>
    <row r="28" spans="1:12" x14ac:dyDescent="0.3">
      <c r="A28" s="290">
        <f t="shared" si="0"/>
        <v>15</v>
      </c>
      <c r="B28" s="291">
        <f t="shared" si="1"/>
        <v>46113</v>
      </c>
      <c r="C28" s="292">
        <f t="shared" si="4"/>
        <v>244986.83701325633</v>
      </c>
      <c r="D28" s="321">
        <f t="shared" si="5"/>
        <v>2863.7689114550312</v>
      </c>
      <c r="E28" s="296">
        <f t="shared" si="6"/>
        <v>1020.7784875552347</v>
      </c>
      <c r="F28" s="296">
        <f t="shared" si="2"/>
        <v>1842.9904238997965</v>
      </c>
      <c r="G28" s="292">
        <f t="shared" si="3"/>
        <v>243143.84658935654</v>
      </c>
      <c r="I28" t="s">
        <v>541</v>
      </c>
      <c r="J28" s="297">
        <f>J27-K28</f>
        <v>153975.34235149709</v>
      </c>
      <c r="K28" s="284">
        <f t="shared" si="7"/>
        <v>25958.069768731726</v>
      </c>
    </row>
    <row r="29" spans="1:12" x14ac:dyDescent="0.3">
      <c r="A29" s="290">
        <f t="shared" si="0"/>
        <v>16</v>
      </c>
      <c r="B29" s="291">
        <f t="shared" si="1"/>
        <v>46143</v>
      </c>
      <c r="C29" s="292">
        <f t="shared" si="4"/>
        <v>243143.84658935654</v>
      </c>
      <c r="D29" s="321">
        <f t="shared" si="5"/>
        <v>2863.7689114550312</v>
      </c>
      <c r="E29" s="296">
        <f t="shared" si="6"/>
        <v>1013.0993607889856</v>
      </c>
      <c r="F29" s="296">
        <f t="shared" si="2"/>
        <v>1850.6695506660458</v>
      </c>
      <c r="G29" s="292">
        <f t="shared" si="3"/>
        <v>241293.17703869051</v>
      </c>
      <c r="I29" t="s">
        <v>542</v>
      </c>
      <c r="K29" s="284">
        <f t="shared" si="7"/>
        <v>2222.2049849904602</v>
      </c>
    </row>
    <row r="30" spans="1:12" x14ac:dyDescent="0.3">
      <c r="A30" s="290">
        <f t="shared" si="0"/>
        <v>17</v>
      </c>
      <c r="B30" s="291">
        <f t="shared" si="1"/>
        <v>46174</v>
      </c>
      <c r="C30" s="292">
        <f t="shared" si="4"/>
        <v>241293.17703869051</v>
      </c>
      <c r="D30" s="321">
        <f t="shared" si="5"/>
        <v>2863.7689114550312</v>
      </c>
      <c r="E30" s="296">
        <f t="shared" si="6"/>
        <v>1005.3882376612105</v>
      </c>
      <c r="F30" s="296">
        <f t="shared" si="2"/>
        <v>1858.3806737938207</v>
      </c>
      <c r="G30" s="292">
        <f t="shared" si="3"/>
        <v>239434.7963648967</v>
      </c>
    </row>
    <row r="31" spans="1:12" x14ac:dyDescent="0.3">
      <c r="A31" s="290">
        <f t="shared" si="0"/>
        <v>18</v>
      </c>
      <c r="B31" s="291">
        <f t="shared" si="1"/>
        <v>46204</v>
      </c>
      <c r="C31" s="292">
        <f t="shared" si="4"/>
        <v>239434.7963648967</v>
      </c>
      <c r="D31" s="321">
        <f t="shared" si="5"/>
        <v>2863.7689114550312</v>
      </c>
      <c r="E31" s="296">
        <f t="shared" si="6"/>
        <v>997.64498485373622</v>
      </c>
      <c r="F31" s="296">
        <f t="shared" si="2"/>
        <v>1866.1239266012949</v>
      </c>
      <c r="G31" s="292">
        <f t="shared" si="3"/>
        <v>237568.67243829541</v>
      </c>
    </row>
    <row r="32" spans="1:12" x14ac:dyDescent="0.3">
      <c r="A32" s="290">
        <f t="shared" si="0"/>
        <v>19</v>
      </c>
      <c r="B32" s="291">
        <f t="shared" si="1"/>
        <v>46235</v>
      </c>
      <c r="C32" s="292">
        <f t="shared" si="4"/>
        <v>237568.67243829541</v>
      </c>
      <c r="D32" s="321">
        <f t="shared" si="5"/>
        <v>2863.7689114550312</v>
      </c>
      <c r="E32" s="296">
        <f t="shared" si="6"/>
        <v>989.86946849289757</v>
      </c>
      <c r="F32" s="296">
        <f t="shared" si="2"/>
        <v>1873.8994429621337</v>
      </c>
      <c r="G32" s="292">
        <f t="shared" si="3"/>
        <v>235694.77299533327</v>
      </c>
    </row>
    <row r="33" spans="1:10" x14ac:dyDescent="0.3">
      <c r="A33" s="290">
        <f t="shared" si="0"/>
        <v>20</v>
      </c>
      <c r="B33" s="291">
        <f t="shared" si="1"/>
        <v>46266</v>
      </c>
      <c r="C33" s="292">
        <f t="shared" si="4"/>
        <v>235694.77299533327</v>
      </c>
      <c r="D33" s="321">
        <f t="shared" si="5"/>
        <v>2863.7689114550312</v>
      </c>
      <c r="E33" s="296">
        <f t="shared" si="6"/>
        <v>982.06155414722195</v>
      </c>
      <c r="F33" s="296">
        <f t="shared" si="2"/>
        <v>1881.7073573078092</v>
      </c>
      <c r="G33" s="292">
        <f t="shared" si="3"/>
        <v>233813.06563802547</v>
      </c>
    </row>
    <row r="34" spans="1:10" x14ac:dyDescent="0.3">
      <c r="A34" s="290">
        <f t="shared" si="0"/>
        <v>21</v>
      </c>
      <c r="B34" s="291">
        <f t="shared" si="1"/>
        <v>46296</v>
      </c>
      <c r="C34" s="292">
        <f t="shared" si="4"/>
        <v>233813.06563802547</v>
      </c>
      <c r="D34" s="321">
        <f t="shared" si="5"/>
        <v>2863.7689114550312</v>
      </c>
      <c r="E34" s="296">
        <f t="shared" si="6"/>
        <v>974.22110682510606</v>
      </c>
      <c r="F34" s="296">
        <f t="shared" si="2"/>
        <v>1889.5478046299252</v>
      </c>
      <c r="G34" s="292">
        <f t="shared" si="3"/>
        <v>231923.51783339554</v>
      </c>
    </row>
    <row r="35" spans="1:10" x14ac:dyDescent="0.3">
      <c r="A35" s="290">
        <f t="shared" si="0"/>
        <v>22</v>
      </c>
      <c r="B35" s="291">
        <f t="shared" si="1"/>
        <v>46327</v>
      </c>
      <c r="C35" s="292">
        <f t="shared" si="4"/>
        <v>231923.51783339554</v>
      </c>
      <c r="D35" s="321">
        <f t="shared" si="5"/>
        <v>2863.7689114550312</v>
      </c>
      <c r="E35" s="296">
        <f t="shared" si="6"/>
        <v>966.3479909724814</v>
      </c>
      <c r="F35" s="296">
        <f t="shared" si="2"/>
        <v>1897.4209204825497</v>
      </c>
      <c r="G35" s="292">
        <f t="shared" si="3"/>
        <v>230026.096912913</v>
      </c>
    </row>
    <row r="36" spans="1:10" x14ac:dyDescent="0.3">
      <c r="A36" s="290">
        <f t="shared" si="0"/>
        <v>23</v>
      </c>
      <c r="B36" s="291">
        <f t="shared" si="1"/>
        <v>46357</v>
      </c>
      <c r="C36" s="292">
        <f t="shared" si="4"/>
        <v>230026.096912913</v>
      </c>
      <c r="D36" s="321">
        <f t="shared" si="5"/>
        <v>2863.7689114550312</v>
      </c>
      <c r="E36" s="296">
        <f t="shared" si="6"/>
        <v>958.44207047047075</v>
      </c>
      <c r="F36" s="296">
        <f t="shared" si="2"/>
        <v>1905.3268409845605</v>
      </c>
      <c r="G36" s="292">
        <f t="shared" si="3"/>
        <v>228120.77007192845</v>
      </c>
    </row>
    <row r="37" spans="1:10" x14ac:dyDescent="0.3">
      <c r="A37" s="290">
        <f t="shared" si="0"/>
        <v>24</v>
      </c>
      <c r="B37" s="291">
        <f t="shared" si="1"/>
        <v>46388</v>
      </c>
      <c r="C37" s="292">
        <f t="shared" si="4"/>
        <v>228120.77007192845</v>
      </c>
      <c r="D37" s="321">
        <f t="shared" si="5"/>
        <v>2863.7689114550312</v>
      </c>
      <c r="E37" s="295">
        <f t="shared" si="6"/>
        <v>950.50320863303523</v>
      </c>
      <c r="F37" s="295">
        <f t="shared" si="2"/>
        <v>1913.265702821996</v>
      </c>
      <c r="G37" s="292">
        <f t="shared" si="3"/>
        <v>226207.50436910646</v>
      </c>
    </row>
    <row r="38" spans="1:10" x14ac:dyDescent="0.3">
      <c r="A38" s="290">
        <f t="shared" si="0"/>
        <v>25</v>
      </c>
      <c r="B38" s="291">
        <f t="shared" si="1"/>
        <v>46419</v>
      </c>
      <c r="C38" s="292">
        <f t="shared" si="4"/>
        <v>226207.50436910646</v>
      </c>
      <c r="D38" s="321">
        <f t="shared" si="5"/>
        <v>2863.7689114550312</v>
      </c>
      <c r="E38" s="295">
        <f t="shared" si="6"/>
        <v>942.53126820461023</v>
      </c>
      <c r="F38" s="295">
        <f t="shared" si="2"/>
        <v>1921.2376432504211</v>
      </c>
      <c r="G38" s="292">
        <f t="shared" si="3"/>
        <v>224286.26672585605</v>
      </c>
    </row>
    <row r="39" spans="1:10" x14ac:dyDescent="0.3">
      <c r="A39" s="290">
        <f t="shared" si="0"/>
        <v>26</v>
      </c>
      <c r="B39" s="291">
        <f t="shared" si="1"/>
        <v>46447</v>
      </c>
      <c r="C39" s="292">
        <f t="shared" si="4"/>
        <v>224286.26672585605</v>
      </c>
      <c r="D39" s="321">
        <f t="shared" si="5"/>
        <v>2863.7689114550312</v>
      </c>
      <c r="E39" s="295">
        <f t="shared" si="6"/>
        <v>934.5261113577335</v>
      </c>
      <c r="F39" s="295">
        <f t="shared" si="2"/>
        <v>1929.2428000972977</v>
      </c>
      <c r="G39" s="292">
        <f t="shared" si="3"/>
        <v>222357.02392575875</v>
      </c>
    </row>
    <row r="40" spans="1:10" x14ac:dyDescent="0.3">
      <c r="A40" s="290">
        <f t="shared" si="0"/>
        <v>27</v>
      </c>
      <c r="B40" s="291">
        <f t="shared" si="1"/>
        <v>46478</v>
      </c>
      <c r="C40" s="292">
        <f t="shared" si="4"/>
        <v>222357.02392575875</v>
      </c>
      <c r="D40" s="321">
        <f t="shared" si="5"/>
        <v>2863.7689114550312</v>
      </c>
      <c r="E40" s="295">
        <f t="shared" si="6"/>
        <v>926.48759969066145</v>
      </c>
      <c r="F40" s="295">
        <f t="shared" si="2"/>
        <v>1937.2813117643698</v>
      </c>
      <c r="G40" s="292">
        <f t="shared" si="3"/>
        <v>220419.74261399437</v>
      </c>
    </row>
    <row r="41" spans="1:10" x14ac:dyDescent="0.3">
      <c r="A41" s="290">
        <f t="shared" si="0"/>
        <v>28</v>
      </c>
      <c r="B41" s="291">
        <f t="shared" si="1"/>
        <v>46508</v>
      </c>
      <c r="C41" s="292">
        <f t="shared" si="4"/>
        <v>220419.74261399437</v>
      </c>
      <c r="D41" s="321">
        <f t="shared" si="5"/>
        <v>2863.7689114550312</v>
      </c>
      <c r="E41" s="295">
        <f t="shared" si="6"/>
        <v>918.41559422497653</v>
      </c>
      <c r="F41" s="295">
        <f t="shared" si="2"/>
        <v>1945.3533172300547</v>
      </c>
      <c r="G41" s="292">
        <f t="shared" si="3"/>
        <v>218474.3892967643</v>
      </c>
    </row>
    <row r="42" spans="1:10" x14ac:dyDescent="0.3">
      <c r="A42" s="290">
        <f t="shared" si="0"/>
        <v>29</v>
      </c>
      <c r="B42" s="291">
        <f t="shared" si="1"/>
        <v>46539</v>
      </c>
      <c r="C42" s="292">
        <f t="shared" si="4"/>
        <v>218474.3892967643</v>
      </c>
      <c r="D42" s="321">
        <f t="shared" si="5"/>
        <v>2863.7689114550312</v>
      </c>
      <c r="E42" s="295">
        <f t="shared" si="6"/>
        <v>910.30995540318463</v>
      </c>
      <c r="F42" s="295">
        <f t="shared" si="2"/>
        <v>1953.4589560518466</v>
      </c>
      <c r="G42" s="292">
        <f t="shared" si="3"/>
        <v>216520.93034071245</v>
      </c>
    </row>
    <row r="43" spans="1:10" x14ac:dyDescent="0.3">
      <c r="A43" s="290">
        <f t="shared" si="0"/>
        <v>30</v>
      </c>
      <c r="B43" s="291">
        <f t="shared" si="1"/>
        <v>46569</v>
      </c>
      <c r="C43" s="292">
        <f t="shared" si="4"/>
        <v>216520.93034071245</v>
      </c>
      <c r="D43" s="321">
        <f t="shared" si="5"/>
        <v>2863.7689114550312</v>
      </c>
      <c r="E43" s="295">
        <f t="shared" si="6"/>
        <v>902.1705430863019</v>
      </c>
      <c r="F43" s="295">
        <f t="shared" si="2"/>
        <v>1961.5983683687293</v>
      </c>
      <c r="G43" s="292">
        <f t="shared" si="3"/>
        <v>214559.33197234373</v>
      </c>
      <c r="J43">
        <v>492</v>
      </c>
    </row>
    <row r="44" spans="1:10" x14ac:dyDescent="0.3">
      <c r="A44" s="290">
        <f t="shared" si="0"/>
        <v>31</v>
      </c>
      <c r="B44" s="291">
        <f t="shared" si="1"/>
        <v>46600</v>
      </c>
      <c r="C44" s="292">
        <f t="shared" si="4"/>
        <v>214559.33197234373</v>
      </c>
      <c r="D44" s="321">
        <f t="shared" si="5"/>
        <v>2863.7689114550312</v>
      </c>
      <c r="E44" s="295">
        <f t="shared" si="6"/>
        <v>893.99721655143219</v>
      </c>
      <c r="F44" s="295">
        <f t="shared" si="2"/>
        <v>1969.7716949035989</v>
      </c>
      <c r="G44" s="292">
        <f t="shared" si="3"/>
        <v>212589.56027744012</v>
      </c>
      <c r="I44" t="s">
        <v>99</v>
      </c>
      <c r="J44" s="297">
        <f>E25*30/31</f>
        <v>1009.9598850798457</v>
      </c>
    </row>
    <row r="45" spans="1:10" x14ac:dyDescent="0.3">
      <c r="A45" s="290">
        <f t="shared" si="0"/>
        <v>32</v>
      </c>
      <c r="B45" s="291">
        <f t="shared" si="1"/>
        <v>46631</v>
      </c>
      <c r="C45" s="292">
        <f t="shared" si="4"/>
        <v>212589.56027744012</v>
      </c>
      <c r="D45" s="321">
        <f t="shared" si="5"/>
        <v>2863.7689114550312</v>
      </c>
      <c r="E45" s="295">
        <f t="shared" si="6"/>
        <v>885.78983448933377</v>
      </c>
      <c r="F45" s="295">
        <f t="shared" si="2"/>
        <v>1977.9790769656975</v>
      </c>
      <c r="G45" s="292">
        <f t="shared" si="3"/>
        <v>210611.58120047441</v>
      </c>
      <c r="I45" t="s">
        <v>100</v>
      </c>
      <c r="J45" s="297">
        <f>E37*30/31</f>
        <v>919.84181480616314</v>
      </c>
    </row>
    <row r="46" spans="1:10" x14ac:dyDescent="0.3">
      <c r="A46" s="290">
        <f t="shared" si="0"/>
        <v>33</v>
      </c>
      <c r="B46" s="291">
        <f t="shared" si="1"/>
        <v>46661</v>
      </c>
      <c r="C46" s="292">
        <f t="shared" si="4"/>
        <v>210611.58120047441</v>
      </c>
      <c r="D46" s="321">
        <f t="shared" si="5"/>
        <v>2863.7689114550312</v>
      </c>
      <c r="E46" s="295">
        <f t="shared" ref="E46:E109" si="8">IF($A45="","",$C46*$B$9)</f>
        <v>877.54825500197671</v>
      </c>
      <c r="F46" s="295">
        <f t="shared" ref="F46:F73" si="9">IF($A45="","",$D46-$E46)</f>
        <v>1986.2206564530545</v>
      </c>
      <c r="G46" s="292">
        <f t="shared" ref="G46:G73" si="10">IF($A45="","",MAX(0,$C46-$F46))</f>
        <v>208625.36054402136</v>
      </c>
      <c r="I46" t="s">
        <v>179</v>
      </c>
      <c r="J46" s="297">
        <f>E49*30/31</f>
        <v>825.11313302383894</v>
      </c>
    </row>
    <row r="47" spans="1:10" x14ac:dyDescent="0.3">
      <c r="A47" s="290">
        <f t="shared" si="0"/>
        <v>34</v>
      </c>
      <c r="B47" s="291">
        <f t="shared" si="1"/>
        <v>46692</v>
      </c>
      <c r="C47" s="292">
        <f t="shared" ref="C47:C110" si="11">IF($A46="","",$G46)</f>
        <v>208625.36054402136</v>
      </c>
      <c r="D47" s="321">
        <f t="shared" si="5"/>
        <v>2863.7689114550312</v>
      </c>
      <c r="E47" s="295">
        <f t="shared" si="8"/>
        <v>869.27233560008892</v>
      </c>
      <c r="F47" s="295">
        <f t="shared" si="9"/>
        <v>1994.4965758549424</v>
      </c>
      <c r="G47" s="292">
        <f t="shared" si="10"/>
        <v>206630.86396816641</v>
      </c>
      <c r="I47" t="s">
        <v>541</v>
      </c>
      <c r="J47" s="297">
        <f>E61*30/31</f>
        <v>725.53795209769669</v>
      </c>
    </row>
    <row r="48" spans="1:10" x14ac:dyDescent="0.3">
      <c r="A48" s="290">
        <f t="shared" si="0"/>
        <v>35</v>
      </c>
      <c r="B48" s="291">
        <f t="shared" si="1"/>
        <v>46722</v>
      </c>
      <c r="C48" s="292">
        <f t="shared" si="11"/>
        <v>206630.86396816641</v>
      </c>
      <c r="D48" s="321">
        <f t="shared" si="5"/>
        <v>2863.7689114550312</v>
      </c>
      <c r="E48" s="295">
        <f t="shared" si="8"/>
        <v>860.96193320069335</v>
      </c>
      <c r="F48" s="295">
        <f t="shared" si="9"/>
        <v>2002.806978254338</v>
      </c>
      <c r="G48" s="292">
        <f t="shared" si="10"/>
        <v>204628.05698991206</v>
      </c>
      <c r="I48" t="s">
        <v>542</v>
      </c>
      <c r="J48" s="297">
        <f>E73*30/31</f>
        <v>620.86831593345573</v>
      </c>
    </row>
    <row r="49" spans="1:7" x14ac:dyDescent="0.3">
      <c r="A49" s="290">
        <f t="shared" si="0"/>
        <v>36</v>
      </c>
      <c r="B49" s="291">
        <f t="shared" si="1"/>
        <v>46753</v>
      </c>
      <c r="C49" s="292">
        <f t="shared" si="11"/>
        <v>204628.05698991206</v>
      </c>
      <c r="D49" s="321">
        <f t="shared" si="5"/>
        <v>2863.7689114550312</v>
      </c>
      <c r="E49" s="296">
        <f t="shared" si="8"/>
        <v>852.61690412463361</v>
      </c>
      <c r="F49" s="296">
        <f t="shared" si="9"/>
        <v>2011.1520073303977</v>
      </c>
      <c r="G49" s="292">
        <f t="shared" si="10"/>
        <v>202616.90498258168</v>
      </c>
    </row>
    <row r="50" spans="1:7" x14ac:dyDescent="0.3">
      <c r="A50" s="290">
        <f t="shared" si="0"/>
        <v>37</v>
      </c>
      <c r="B50" s="291">
        <f t="shared" si="1"/>
        <v>46784</v>
      </c>
      <c r="C50" s="292">
        <f t="shared" si="11"/>
        <v>202616.90498258168</v>
      </c>
      <c r="D50" s="321">
        <f t="shared" si="5"/>
        <v>2863.7689114550312</v>
      </c>
      <c r="E50" s="296">
        <f t="shared" si="8"/>
        <v>844.23710409409034</v>
      </c>
      <c r="F50" s="296">
        <f t="shared" si="9"/>
        <v>2019.531807360941</v>
      </c>
      <c r="G50" s="292">
        <f t="shared" si="10"/>
        <v>200597.37317522074</v>
      </c>
    </row>
    <row r="51" spans="1:7" x14ac:dyDescent="0.3">
      <c r="A51" s="290">
        <f t="shared" si="0"/>
        <v>38</v>
      </c>
      <c r="B51" s="291">
        <f t="shared" si="1"/>
        <v>46813</v>
      </c>
      <c r="C51" s="292">
        <f t="shared" si="11"/>
        <v>200597.37317522074</v>
      </c>
      <c r="D51" s="321">
        <f t="shared" si="5"/>
        <v>2863.7689114550312</v>
      </c>
      <c r="E51" s="296">
        <f t="shared" si="8"/>
        <v>835.8223882300864</v>
      </c>
      <c r="F51" s="296">
        <f t="shared" si="9"/>
        <v>2027.9465232249449</v>
      </c>
      <c r="G51" s="292">
        <f t="shared" si="10"/>
        <v>198569.4266519958</v>
      </c>
    </row>
    <row r="52" spans="1:7" x14ac:dyDescent="0.3">
      <c r="A52" s="290">
        <f t="shared" si="0"/>
        <v>39</v>
      </c>
      <c r="B52" s="291">
        <f t="shared" si="1"/>
        <v>46844</v>
      </c>
      <c r="C52" s="292">
        <f t="shared" si="11"/>
        <v>198569.4266519958</v>
      </c>
      <c r="D52" s="321">
        <f t="shared" si="5"/>
        <v>2863.7689114550312</v>
      </c>
      <c r="E52" s="296">
        <f t="shared" si="8"/>
        <v>827.37261104998254</v>
      </c>
      <c r="F52" s="296">
        <f t="shared" si="9"/>
        <v>2036.3963004050488</v>
      </c>
      <c r="G52" s="292">
        <f t="shared" si="10"/>
        <v>196533.03035159074</v>
      </c>
    </row>
    <row r="53" spans="1:7" x14ac:dyDescent="0.3">
      <c r="A53" s="290">
        <f t="shared" si="0"/>
        <v>40</v>
      </c>
      <c r="B53" s="291">
        <f t="shared" si="1"/>
        <v>46874</v>
      </c>
      <c r="C53" s="292">
        <f t="shared" si="11"/>
        <v>196533.03035159074</v>
      </c>
      <c r="D53" s="321">
        <f t="shared" si="5"/>
        <v>2863.7689114550312</v>
      </c>
      <c r="E53" s="296">
        <f t="shared" si="8"/>
        <v>818.88762646496139</v>
      </c>
      <c r="F53" s="296">
        <f t="shared" si="9"/>
        <v>2044.8812849900698</v>
      </c>
      <c r="G53" s="292">
        <f t="shared" si="10"/>
        <v>194488.14906660069</v>
      </c>
    </row>
    <row r="54" spans="1:7" x14ac:dyDescent="0.3">
      <c r="A54" s="290">
        <f t="shared" si="0"/>
        <v>41</v>
      </c>
      <c r="B54" s="291">
        <f t="shared" si="1"/>
        <v>46905</v>
      </c>
      <c r="C54" s="292">
        <f t="shared" si="11"/>
        <v>194488.14906660069</v>
      </c>
      <c r="D54" s="321">
        <f t="shared" si="5"/>
        <v>2863.7689114550312</v>
      </c>
      <c r="E54" s="296">
        <f t="shared" si="8"/>
        <v>810.36728777750284</v>
      </c>
      <c r="F54" s="296">
        <f t="shared" si="9"/>
        <v>2053.4016236775283</v>
      </c>
      <c r="G54" s="292">
        <f t="shared" si="10"/>
        <v>192434.74744292317</v>
      </c>
    </row>
    <row r="55" spans="1:7" x14ac:dyDescent="0.3">
      <c r="A55" s="290">
        <f t="shared" si="0"/>
        <v>42</v>
      </c>
      <c r="B55" s="291">
        <f t="shared" si="1"/>
        <v>46935</v>
      </c>
      <c r="C55" s="292">
        <f t="shared" si="11"/>
        <v>192434.74744292317</v>
      </c>
      <c r="D55" s="321">
        <f t="shared" si="5"/>
        <v>2863.7689114550312</v>
      </c>
      <c r="E55" s="296">
        <f t="shared" si="8"/>
        <v>801.81144767884655</v>
      </c>
      <c r="F55" s="296">
        <f t="shared" si="9"/>
        <v>2061.9574637761848</v>
      </c>
      <c r="G55" s="292">
        <f t="shared" si="10"/>
        <v>190372.78997914697</v>
      </c>
    </row>
    <row r="56" spans="1:7" x14ac:dyDescent="0.3">
      <c r="A56" s="290">
        <f t="shared" si="0"/>
        <v>43</v>
      </c>
      <c r="B56" s="291">
        <f t="shared" si="1"/>
        <v>46966</v>
      </c>
      <c r="C56" s="292">
        <f t="shared" si="11"/>
        <v>190372.78997914697</v>
      </c>
      <c r="D56" s="321">
        <f t="shared" si="5"/>
        <v>2863.7689114550312</v>
      </c>
      <c r="E56" s="296">
        <f t="shared" si="8"/>
        <v>793.21995824644569</v>
      </c>
      <c r="F56" s="296">
        <f t="shared" si="9"/>
        <v>2070.5489532085858</v>
      </c>
      <c r="G56" s="292">
        <f t="shared" si="10"/>
        <v>188302.24102593839</v>
      </c>
    </row>
    <row r="57" spans="1:7" x14ac:dyDescent="0.3">
      <c r="A57" s="290">
        <f t="shared" si="0"/>
        <v>44</v>
      </c>
      <c r="B57" s="291">
        <f t="shared" si="1"/>
        <v>46997</v>
      </c>
      <c r="C57" s="292">
        <f t="shared" si="11"/>
        <v>188302.24102593839</v>
      </c>
      <c r="D57" s="321">
        <f t="shared" si="5"/>
        <v>2863.7689114550312</v>
      </c>
      <c r="E57" s="296">
        <f t="shared" si="8"/>
        <v>784.59267094141001</v>
      </c>
      <c r="F57" s="296">
        <f t="shared" si="9"/>
        <v>2079.1762405136215</v>
      </c>
      <c r="G57" s="292">
        <f t="shared" si="10"/>
        <v>186223.06478542477</v>
      </c>
    </row>
    <row r="58" spans="1:7" x14ac:dyDescent="0.3">
      <c r="A58" s="290">
        <f t="shared" si="0"/>
        <v>45</v>
      </c>
      <c r="B58" s="291">
        <f t="shared" si="1"/>
        <v>47027</v>
      </c>
      <c r="C58" s="292">
        <f t="shared" si="11"/>
        <v>186223.06478542477</v>
      </c>
      <c r="D58" s="321">
        <f t="shared" si="5"/>
        <v>2863.7689114550312</v>
      </c>
      <c r="E58" s="296">
        <f t="shared" si="8"/>
        <v>775.92943660593653</v>
      </c>
      <c r="F58" s="296">
        <f t="shared" si="9"/>
        <v>2087.8394748490946</v>
      </c>
      <c r="G58" s="292">
        <f t="shared" si="10"/>
        <v>184135.22531057568</v>
      </c>
    </row>
    <row r="59" spans="1:7" x14ac:dyDescent="0.3">
      <c r="A59" s="290">
        <f t="shared" si="0"/>
        <v>46</v>
      </c>
      <c r="B59" s="291">
        <f t="shared" si="1"/>
        <v>47058</v>
      </c>
      <c r="C59" s="292">
        <f t="shared" si="11"/>
        <v>184135.22531057568</v>
      </c>
      <c r="D59" s="321">
        <f t="shared" si="5"/>
        <v>2863.7689114550312</v>
      </c>
      <c r="E59" s="296">
        <f t="shared" si="8"/>
        <v>767.23010546073203</v>
      </c>
      <c r="F59" s="296">
        <f t="shared" si="9"/>
        <v>2096.5388059942993</v>
      </c>
      <c r="G59" s="292">
        <f t="shared" si="10"/>
        <v>182038.68650458139</v>
      </c>
    </row>
    <row r="60" spans="1:7" x14ac:dyDescent="0.3">
      <c r="A60" s="290">
        <f t="shared" si="0"/>
        <v>47</v>
      </c>
      <c r="B60" s="291">
        <f t="shared" si="1"/>
        <v>47088</v>
      </c>
      <c r="C60" s="292">
        <f t="shared" si="11"/>
        <v>182038.68650458139</v>
      </c>
      <c r="D60" s="321">
        <f t="shared" si="5"/>
        <v>2863.7689114550312</v>
      </c>
      <c r="E60" s="296">
        <f t="shared" si="8"/>
        <v>758.49452710242247</v>
      </c>
      <c r="F60" s="296">
        <f t="shared" si="9"/>
        <v>2105.2743843526086</v>
      </c>
      <c r="G60" s="292">
        <f t="shared" si="10"/>
        <v>179933.41212022878</v>
      </c>
    </row>
    <row r="61" spans="1:7" x14ac:dyDescent="0.3">
      <c r="A61" s="290">
        <f t="shared" si="0"/>
        <v>48</v>
      </c>
      <c r="B61" s="291">
        <f t="shared" si="1"/>
        <v>47119</v>
      </c>
      <c r="C61" s="292">
        <f t="shared" si="11"/>
        <v>179933.41212022878</v>
      </c>
      <c r="D61" s="321">
        <f t="shared" si="5"/>
        <v>2863.7689114550312</v>
      </c>
      <c r="E61" s="295">
        <f t="shared" si="8"/>
        <v>749.72255050095328</v>
      </c>
      <c r="F61" s="295">
        <f t="shared" si="9"/>
        <v>2114.046360954078</v>
      </c>
      <c r="G61" s="292">
        <f t="shared" si="10"/>
        <v>177819.36575927469</v>
      </c>
    </row>
    <row r="62" spans="1:7" x14ac:dyDescent="0.3">
      <c r="A62" s="290">
        <f t="shared" si="0"/>
        <v>49</v>
      </c>
      <c r="B62" s="291">
        <f t="shared" si="1"/>
        <v>47150</v>
      </c>
      <c r="C62" s="292">
        <f t="shared" si="11"/>
        <v>177819.36575927469</v>
      </c>
      <c r="D62" s="321">
        <f t="shared" si="5"/>
        <v>2863.7689114550312</v>
      </c>
      <c r="E62" s="295">
        <f t="shared" si="8"/>
        <v>740.9140239969779</v>
      </c>
      <c r="F62" s="295">
        <f t="shared" si="9"/>
        <v>2122.8548874580533</v>
      </c>
      <c r="G62" s="292">
        <f t="shared" si="10"/>
        <v>175696.51087181663</v>
      </c>
    </row>
    <row r="63" spans="1:7" x14ac:dyDescent="0.3">
      <c r="A63" s="290">
        <f t="shared" si="0"/>
        <v>50</v>
      </c>
      <c r="B63" s="291">
        <f t="shared" si="1"/>
        <v>47178</v>
      </c>
      <c r="C63" s="292">
        <f t="shared" si="11"/>
        <v>175696.51087181663</v>
      </c>
      <c r="D63" s="321">
        <f t="shared" si="5"/>
        <v>2863.7689114550312</v>
      </c>
      <c r="E63" s="295">
        <f t="shared" si="8"/>
        <v>732.06879529923594</v>
      </c>
      <c r="F63" s="295">
        <f t="shared" si="9"/>
        <v>2131.7001161557955</v>
      </c>
      <c r="G63" s="292">
        <f t="shared" si="10"/>
        <v>173564.81075566084</v>
      </c>
    </row>
    <row r="64" spans="1:7" x14ac:dyDescent="0.3">
      <c r="A64" s="290">
        <f t="shared" si="0"/>
        <v>51</v>
      </c>
      <c r="B64" s="291">
        <f t="shared" si="1"/>
        <v>47209</v>
      </c>
      <c r="C64" s="292">
        <f t="shared" si="11"/>
        <v>173564.81075566084</v>
      </c>
      <c r="D64" s="321">
        <f t="shared" si="5"/>
        <v>2863.7689114550312</v>
      </c>
      <c r="E64" s="295">
        <f t="shared" si="8"/>
        <v>723.18671148192016</v>
      </c>
      <c r="F64" s="295">
        <f t="shared" si="9"/>
        <v>2140.5821999731111</v>
      </c>
      <c r="G64" s="292">
        <f t="shared" si="10"/>
        <v>171424.22855568773</v>
      </c>
    </row>
    <row r="65" spans="1:8" x14ac:dyDescent="0.3">
      <c r="A65" s="290">
        <f t="shared" si="0"/>
        <v>52</v>
      </c>
      <c r="B65" s="291">
        <f t="shared" si="1"/>
        <v>47239</v>
      </c>
      <c r="C65" s="292">
        <f t="shared" si="11"/>
        <v>171424.22855568773</v>
      </c>
      <c r="D65" s="321">
        <f t="shared" si="5"/>
        <v>2863.7689114550312</v>
      </c>
      <c r="E65" s="295">
        <f t="shared" si="8"/>
        <v>714.26761898203222</v>
      </c>
      <c r="F65" s="295">
        <f t="shared" si="9"/>
        <v>2149.501292472999</v>
      </c>
      <c r="G65" s="292">
        <f t="shared" si="10"/>
        <v>169274.72726321474</v>
      </c>
    </row>
    <row r="66" spans="1:8" x14ac:dyDescent="0.3">
      <c r="A66" s="290">
        <f t="shared" si="0"/>
        <v>53</v>
      </c>
      <c r="B66" s="291">
        <f t="shared" si="1"/>
        <v>47270</v>
      </c>
      <c r="C66" s="292">
        <f t="shared" si="11"/>
        <v>169274.72726321474</v>
      </c>
      <c r="D66" s="321">
        <f t="shared" si="5"/>
        <v>2863.7689114550312</v>
      </c>
      <c r="E66" s="295">
        <f t="shared" si="8"/>
        <v>705.31136359672803</v>
      </c>
      <c r="F66" s="295">
        <f t="shared" si="9"/>
        <v>2158.4575478583033</v>
      </c>
      <c r="G66" s="292">
        <f t="shared" si="10"/>
        <v>167116.26971535644</v>
      </c>
    </row>
    <row r="67" spans="1:8" x14ac:dyDescent="0.3">
      <c r="A67" s="290">
        <f t="shared" si="0"/>
        <v>54</v>
      </c>
      <c r="B67" s="291">
        <f t="shared" si="1"/>
        <v>47300</v>
      </c>
      <c r="C67" s="292">
        <f t="shared" si="11"/>
        <v>167116.26971535644</v>
      </c>
      <c r="D67" s="321">
        <f t="shared" si="5"/>
        <v>2863.7689114550312</v>
      </c>
      <c r="E67" s="295">
        <f t="shared" si="8"/>
        <v>696.31779048065187</v>
      </c>
      <c r="F67" s="295">
        <f t="shared" si="9"/>
        <v>2167.4511209743796</v>
      </c>
      <c r="G67" s="292">
        <f t="shared" si="10"/>
        <v>164948.81859438206</v>
      </c>
    </row>
    <row r="68" spans="1:8" x14ac:dyDescent="0.3">
      <c r="A68" s="290">
        <f t="shared" si="0"/>
        <v>55</v>
      </c>
      <c r="B68" s="291">
        <f t="shared" si="1"/>
        <v>47331</v>
      </c>
      <c r="C68" s="292">
        <f t="shared" si="11"/>
        <v>164948.81859438206</v>
      </c>
      <c r="D68" s="321">
        <f t="shared" si="5"/>
        <v>2863.7689114550312</v>
      </c>
      <c r="E68" s="295">
        <f t="shared" si="8"/>
        <v>687.2867441432586</v>
      </c>
      <c r="F68" s="295">
        <f t="shared" si="9"/>
        <v>2176.4821673117726</v>
      </c>
      <c r="G68" s="292">
        <f t="shared" si="10"/>
        <v>162772.33642707029</v>
      </c>
    </row>
    <row r="69" spans="1:8" x14ac:dyDescent="0.3">
      <c r="A69" s="290">
        <f t="shared" si="0"/>
        <v>56</v>
      </c>
      <c r="B69" s="291">
        <f t="shared" si="1"/>
        <v>47362</v>
      </c>
      <c r="C69" s="292">
        <f t="shared" si="11"/>
        <v>162772.33642707029</v>
      </c>
      <c r="D69" s="321">
        <f t="shared" si="5"/>
        <v>2863.7689114550312</v>
      </c>
      <c r="E69" s="295">
        <f t="shared" si="8"/>
        <v>678.21806844612615</v>
      </c>
      <c r="F69" s="295">
        <f t="shared" si="9"/>
        <v>2185.5508430089048</v>
      </c>
      <c r="G69" s="292">
        <f t="shared" si="10"/>
        <v>160586.78558406138</v>
      </c>
    </row>
    <row r="70" spans="1:8" x14ac:dyDescent="0.3">
      <c r="A70" s="290">
        <f t="shared" si="0"/>
        <v>57</v>
      </c>
      <c r="B70" s="291">
        <f t="shared" si="1"/>
        <v>47392</v>
      </c>
      <c r="C70" s="292">
        <f t="shared" si="11"/>
        <v>160586.78558406138</v>
      </c>
      <c r="D70" s="321">
        <f t="shared" si="5"/>
        <v>2863.7689114550312</v>
      </c>
      <c r="E70" s="295">
        <f t="shared" si="8"/>
        <v>669.11160660025575</v>
      </c>
      <c r="F70" s="295">
        <f t="shared" si="9"/>
        <v>2194.6573048547752</v>
      </c>
      <c r="G70" s="292">
        <f t="shared" si="10"/>
        <v>158392.1282792066</v>
      </c>
    </row>
    <row r="71" spans="1:8" x14ac:dyDescent="0.3">
      <c r="A71" s="290">
        <f t="shared" si="0"/>
        <v>58</v>
      </c>
      <c r="B71" s="291">
        <f t="shared" si="1"/>
        <v>47423</v>
      </c>
      <c r="C71" s="292">
        <f t="shared" si="11"/>
        <v>158392.1282792066</v>
      </c>
      <c r="D71" s="321">
        <f t="shared" si="5"/>
        <v>2863.7689114550312</v>
      </c>
      <c r="E71" s="295">
        <f t="shared" si="8"/>
        <v>659.96720116336087</v>
      </c>
      <c r="F71" s="295">
        <f t="shared" si="9"/>
        <v>2203.8017102916701</v>
      </c>
      <c r="G71" s="292">
        <f t="shared" si="10"/>
        <v>156188.32656891493</v>
      </c>
    </row>
    <row r="72" spans="1:8" x14ac:dyDescent="0.3">
      <c r="A72" s="290">
        <f t="shared" si="0"/>
        <v>59</v>
      </c>
      <c r="B72" s="291">
        <f t="shared" si="1"/>
        <v>47453</v>
      </c>
      <c r="C72" s="292">
        <f t="shared" si="11"/>
        <v>156188.32656891493</v>
      </c>
      <c r="D72" s="321">
        <f t="shared" si="5"/>
        <v>2863.7689114550312</v>
      </c>
      <c r="E72" s="295">
        <f t="shared" si="8"/>
        <v>650.78469403714553</v>
      </c>
      <c r="F72" s="295">
        <f t="shared" si="9"/>
        <v>2212.9842174178857</v>
      </c>
      <c r="G72" s="292">
        <f t="shared" si="10"/>
        <v>153975.34235149703</v>
      </c>
    </row>
    <row r="73" spans="1:8" x14ac:dyDescent="0.3">
      <c r="A73" s="343">
        <f t="shared" si="0"/>
        <v>60</v>
      </c>
      <c r="B73" s="344">
        <f t="shared" si="1"/>
        <v>47484</v>
      </c>
      <c r="C73" s="296">
        <f t="shared" si="11"/>
        <v>153975.34235149703</v>
      </c>
      <c r="D73" s="345">
        <f t="shared" si="5"/>
        <v>2863.7689114550312</v>
      </c>
      <c r="E73" s="296">
        <f t="shared" si="8"/>
        <v>641.56392646457095</v>
      </c>
      <c r="F73" s="296">
        <f t="shared" si="9"/>
        <v>2222.2049849904602</v>
      </c>
      <c r="G73" s="292">
        <f t="shared" si="10"/>
        <v>151753.13736650656</v>
      </c>
    </row>
    <row r="74" spans="1:8" x14ac:dyDescent="0.3">
      <c r="A74" s="290">
        <v>61</v>
      </c>
      <c r="B74" s="291">
        <f t="shared" si="1"/>
        <v>47515</v>
      </c>
      <c r="C74" s="346">
        <f>G73</f>
        <v>151753.13736650656</v>
      </c>
      <c r="D74" s="347">
        <f t="shared" si="5"/>
        <v>2863.7689114550312</v>
      </c>
      <c r="E74" s="346">
        <f>C74*$B$9</f>
        <v>632.30473902711071</v>
      </c>
      <c r="F74" s="346">
        <f>D74-E74</f>
        <v>2231.4641724279204</v>
      </c>
      <c r="G74" s="346">
        <f>C74-F74</f>
        <v>149521.67319407864</v>
      </c>
    </row>
    <row r="75" spans="1:8" x14ac:dyDescent="0.3">
      <c r="A75" s="290">
        <v>62</v>
      </c>
      <c r="B75" s="291">
        <f t="shared" si="1"/>
        <v>47543</v>
      </c>
      <c r="C75" s="346">
        <f t="shared" si="11"/>
        <v>149521.67319407864</v>
      </c>
      <c r="D75" s="347">
        <f t="shared" si="5"/>
        <v>2863.7689114550312</v>
      </c>
      <c r="E75" s="346">
        <f t="shared" ref="E75:E133" si="12">C75*$B$9</f>
        <v>623.00697164199437</v>
      </c>
      <c r="F75" s="346">
        <f>D75-E75</f>
        <v>2240.7619398130369</v>
      </c>
      <c r="G75" s="346">
        <f>C75-F75</f>
        <v>147280.91125426561</v>
      </c>
    </row>
    <row r="76" spans="1:8" x14ac:dyDescent="0.3">
      <c r="A76" s="290">
        <v>63</v>
      </c>
      <c r="B76" s="291">
        <f t="shared" si="1"/>
        <v>47574</v>
      </c>
      <c r="C76" s="346">
        <f t="shared" si="11"/>
        <v>147280.91125426561</v>
      </c>
      <c r="D76" s="347">
        <f t="shared" si="5"/>
        <v>2863.7689114550312</v>
      </c>
      <c r="E76" s="346">
        <f t="shared" ref="E76:E82" si="13">C76*$B$9</f>
        <v>613.67046355944001</v>
      </c>
      <c r="F76" s="346">
        <f t="shared" ref="F76:F82" si="14">D76-E76</f>
        <v>2250.0984478955911</v>
      </c>
      <c r="G76" s="346">
        <f t="shared" ref="G76:G82" si="15">C76-F76</f>
        <v>145030.81280637003</v>
      </c>
    </row>
    <row r="77" spans="1:8" x14ac:dyDescent="0.3">
      <c r="A77" s="290">
        <v>64</v>
      </c>
      <c r="B77" s="291">
        <f t="shared" ref="B77:B133" si="16">IF($A77="","",EDATE($B$7,$A77-1))</f>
        <v>47604</v>
      </c>
      <c r="C77" s="346">
        <f t="shared" si="11"/>
        <v>145030.81280637003</v>
      </c>
      <c r="D77" s="347">
        <f t="shared" si="5"/>
        <v>2863.7689114550312</v>
      </c>
      <c r="E77" s="346">
        <f t="shared" si="13"/>
        <v>604.29505335987506</v>
      </c>
      <c r="F77" s="346">
        <f t="shared" si="14"/>
        <v>2259.4738580951562</v>
      </c>
      <c r="G77" s="346">
        <f t="shared" si="15"/>
        <v>142771.33894827488</v>
      </c>
      <c r="H77" s="297"/>
    </row>
    <row r="78" spans="1:8" x14ac:dyDescent="0.3">
      <c r="A78" s="290">
        <v>65</v>
      </c>
      <c r="B78" s="291">
        <f t="shared" si="16"/>
        <v>47635</v>
      </c>
      <c r="C78" s="346">
        <f t="shared" si="11"/>
        <v>142771.33894827488</v>
      </c>
      <c r="D78" s="347">
        <f t="shared" si="5"/>
        <v>2863.7689114550312</v>
      </c>
      <c r="E78" s="346">
        <f t="shared" si="13"/>
        <v>594.88057895114525</v>
      </c>
      <c r="F78" s="346">
        <f t="shared" si="14"/>
        <v>2268.888332503886</v>
      </c>
      <c r="G78" s="346">
        <f t="shared" si="15"/>
        <v>140502.450615771</v>
      </c>
    </row>
    <row r="79" spans="1:8" x14ac:dyDescent="0.3">
      <c r="A79" s="290">
        <v>66</v>
      </c>
      <c r="B79" s="291">
        <f t="shared" si="16"/>
        <v>47665</v>
      </c>
      <c r="C79" s="346">
        <f t="shared" si="11"/>
        <v>140502.450615771</v>
      </c>
      <c r="D79" s="347">
        <f t="shared" ref="D79:D133" si="17">PMT(0.05/12, 120,- 270000)</f>
        <v>2863.7689114550312</v>
      </c>
      <c r="E79" s="346">
        <f t="shared" si="13"/>
        <v>585.42687756571252</v>
      </c>
      <c r="F79" s="346">
        <f t="shared" si="14"/>
        <v>2278.3420338893188</v>
      </c>
      <c r="G79" s="346">
        <f t="shared" si="15"/>
        <v>138224.10858188168</v>
      </c>
    </row>
    <row r="80" spans="1:8" x14ac:dyDescent="0.3">
      <c r="A80" s="290">
        <v>67</v>
      </c>
      <c r="B80" s="291">
        <f t="shared" si="16"/>
        <v>47696</v>
      </c>
      <c r="C80" s="346">
        <f t="shared" si="11"/>
        <v>138224.10858188168</v>
      </c>
      <c r="D80" s="347">
        <f t="shared" si="17"/>
        <v>2863.7689114550312</v>
      </c>
      <c r="E80" s="346">
        <f t="shared" si="13"/>
        <v>575.93378575784027</v>
      </c>
      <c r="F80" s="346">
        <f t="shared" si="14"/>
        <v>2287.835125697191</v>
      </c>
      <c r="G80" s="346">
        <f t="shared" si="15"/>
        <v>135936.27345618448</v>
      </c>
    </row>
    <row r="81" spans="1:7" x14ac:dyDescent="0.3">
      <c r="A81" s="290">
        <v>68</v>
      </c>
      <c r="B81" s="291">
        <f t="shared" si="16"/>
        <v>47727</v>
      </c>
      <c r="C81" s="346">
        <f t="shared" si="11"/>
        <v>135936.27345618448</v>
      </c>
      <c r="D81" s="347">
        <f t="shared" si="17"/>
        <v>2863.7689114550312</v>
      </c>
      <c r="E81" s="346">
        <f t="shared" si="13"/>
        <v>566.40113940076867</v>
      </c>
      <c r="F81" s="346">
        <f t="shared" si="14"/>
        <v>2297.3677720542628</v>
      </c>
      <c r="G81" s="346">
        <f t="shared" si="15"/>
        <v>133638.90568413021</v>
      </c>
    </row>
    <row r="82" spans="1:7" x14ac:dyDescent="0.3">
      <c r="A82" s="290">
        <v>69</v>
      </c>
      <c r="B82" s="291">
        <f t="shared" si="16"/>
        <v>47757</v>
      </c>
      <c r="C82" s="346">
        <f t="shared" si="11"/>
        <v>133638.90568413021</v>
      </c>
      <c r="D82" s="347">
        <f t="shared" si="17"/>
        <v>2863.7689114550312</v>
      </c>
      <c r="E82" s="346">
        <f t="shared" si="13"/>
        <v>556.82877368387585</v>
      </c>
      <c r="F82" s="346">
        <f t="shared" si="14"/>
        <v>2306.9401377711556</v>
      </c>
      <c r="G82" s="346">
        <f t="shared" si="15"/>
        <v>131331.96554635905</v>
      </c>
    </row>
    <row r="83" spans="1:7" x14ac:dyDescent="0.3">
      <c r="A83" s="290">
        <v>70</v>
      </c>
      <c r="B83" s="291">
        <f t="shared" si="16"/>
        <v>47788</v>
      </c>
      <c r="C83" s="346">
        <f t="shared" si="11"/>
        <v>131331.96554635905</v>
      </c>
      <c r="D83" s="347">
        <f t="shared" si="17"/>
        <v>2863.7689114550312</v>
      </c>
      <c r="E83" s="346">
        <f t="shared" ref="E83:E133" si="18">C83*$B$9</f>
        <v>547.21652310982938</v>
      </c>
      <c r="F83" s="346">
        <f t="shared" ref="F83:F133" si="19">D83-E83</f>
        <v>2316.552388345202</v>
      </c>
      <c r="G83" s="346">
        <f t="shared" ref="G83:G133" si="20">C83-F83</f>
        <v>129015.41315801385</v>
      </c>
    </row>
    <row r="84" spans="1:7" x14ac:dyDescent="0.3">
      <c r="A84" s="290">
        <v>71</v>
      </c>
      <c r="B84" s="291">
        <f t="shared" si="16"/>
        <v>47818</v>
      </c>
      <c r="C84" s="346">
        <f t="shared" si="11"/>
        <v>129015.41315801385</v>
      </c>
      <c r="D84" s="347">
        <f t="shared" si="17"/>
        <v>2863.7689114550312</v>
      </c>
      <c r="E84" s="346">
        <f t="shared" si="18"/>
        <v>537.56422149172431</v>
      </c>
      <c r="F84" s="346">
        <f t="shared" si="19"/>
        <v>2326.2046899633069</v>
      </c>
      <c r="G84" s="346">
        <f t="shared" si="20"/>
        <v>126689.20846805054</v>
      </c>
    </row>
    <row r="85" spans="1:7" x14ac:dyDescent="0.3">
      <c r="A85" s="290">
        <v>72</v>
      </c>
      <c r="B85" s="291">
        <f t="shared" si="16"/>
        <v>47849</v>
      </c>
      <c r="C85" s="346">
        <f t="shared" si="11"/>
        <v>126689.20846805054</v>
      </c>
      <c r="D85" s="347">
        <f t="shared" si="17"/>
        <v>2863.7689114550312</v>
      </c>
      <c r="E85" s="346">
        <f t="shared" si="18"/>
        <v>527.87170195021054</v>
      </c>
      <c r="F85" s="346">
        <f t="shared" si="19"/>
        <v>2335.8972095048207</v>
      </c>
      <c r="G85" s="346">
        <f t="shared" si="20"/>
        <v>124353.31125854571</v>
      </c>
    </row>
    <row r="86" spans="1:7" x14ac:dyDescent="0.3">
      <c r="A86" s="290">
        <v>73</v>
      </c>
      <c r="B86" s="291">
        <f t="shared" si="16"/>
        <v>47880</v>
      </c>
      <c r="C86" s="346">
        <f t="shared" si="11"/>
        <v>124353.31125854571</v>
      </c>
      <c r="D86" s="347">
        <f t="shared" si="17"/>
        <v>2863.7689114550312</v>
      </c>
      <c r="E86" s="346">
        <f t="shared" si="18"/>
        <v>518.13879691060708</v>
      </c>
      <c r="F86" s="346">
        <f t="shared" si="19"/>
        <v>2345.630114544424</v>
      </c>
      <c r="G86" s="346">
        <f t="shared" si="20"/>
        <v>122007.68114400128</v>
      </c>
    </row>
    <row r="87" spans="1:7" x14ac:dyDescent="0.3">
      <c r="A87" s="290">
        <v>74</v>
      </c>
      <c r="B87" s="291">
        <f t="shared" si="16"/>
        <v>47908</v>
      </c>
      <c r="C87" s="346">
        <f t="shared" si="11"/>
        <v>122007.68114400128</v>
      </c>
      <c r="D87" s="347">
        <f t="shared" si="17"/>
        <v>2863.7689114550312</v>
      </c>
      <c r="E87" s="346">
        <f t="shared" si="18"/>
        <v>508.36533810000532</v>
      </c>
      <c r="F87" s="346">
        <f t="shared" si="19"/>
        <v>2355.4035733550259</v>
      </c>
      <c r="G87" s="346">
        <f t="shared" si="20"/>
        <v>119652.27757064626</v>
      </c>
    </row>
    <row r="88" spans="1:7" x14ac:dyDescent="0.3">
      <c r="A88" s="290">
        <v>75</v>
      </c>
      <c r="B88" s="291">
        <f t="shared" si="16"/>
        <v>47939</v>
      </c>
      <c r="C88" s="346">
        <f t="shared" si="11"/>
        <v>119652.27757064626</v>
      </c>
      <c r="D88" s="347">
        <f t="shared" si="17"/>
        <v>2863.7689114550312</v>
      </c>
      <c r="E88" s="346">
        <f t="shared" si="18"/>
        <v>498.5511565443594</v>
      </c>
      <c r="F88" s="346">
        <f t="shared" si="19"/>
        <v>2365.2177549106718</v>
      </c>
      <c r="G88" s="346">
        <f t="shared" si="20"/>
        <v>117287.05981573559</v>
      </c>
    </row>
    <row r="89" spans="1:7" x14ac:dyDescent="0.3">
      <c r="A89" s="290">
        <v>76</v>
      </c>
      <c r="B89" s="291">
        <f t="shared" si="16"/>
        <v>47969</v>
      </c>
      <c r="C89" s="346">
        <f t="shared" si="11"/>
        <v>117287.05981573559</v>
      </c>
      <c r="D89" s="347">
        <f t="shared" si="17"/>
        <v>2863.7689114550312</v>
      </c>
      <c r="E89" s="346">
        <f t="shared" si="18"/>
        <v>488.69608256556495</v>
      </c>
      <c r="F89" s="346">
        <f t="shared" si="19"/>
        <v>2375.0728288894661</v>
      </c>
      <c r="G89" s="346">
        <f t="shared" si="20"/>
        <v>114911.98698684612</v>
      </c>
    </row>
    <row r="90" spans="1:7" x14ac:dyDescent="0.3">
      <c r="A90" s="290">
        <v>77</v>
      </c>
      <c r="B90" s="291">
        <f t="shared" si="16"/>
        <v>48000</v>
      </c>
      <c r="C90" s="346">
        <f t="shared" si="11"/>
        <v>114911.98698684612</v>
      </c>
      <c r="D90" s="347">
        <f t="shared" si="17"/>
        <v>2863.7689114550312</v>
      </c>
      <c r="E90" s="346">
        <f t="shared" si="18"/>
        <v>478.79994577852551</v>
      </c>
      <c r="F90" s="346">
        <f t="shared" si="19"/>
        <v>2384.9689656765058</v>
      </c>
      <c r="G90" s="346">
        <f t="shared" si="20"/>
        <v>112527.01802116961</v>
      </c>
    </row>
    <row r="91" spans="1:7" x14ac:dyDescent="0.3">
      <c r="A91" s="290">
        <v>78</v>
      </c>
      <c r="B91" s="291">
        <f t="shared" si="16"/>
        <v>48030</v>
      </c>
      <c r="C91" s="346">
        <f t="shared" si="11"/>
        <v>112527.01802116961</v>
      </c>
      <c r="D91" s="347">
        <f t="shared" si="17"/>
        <v>2863.7689114550312</v>
      </c>
      <c r="E91" s="346">
        <f t="shared" si="18"/>
        <v>468.86257508820671</v>
      </c>
      <c r="F91" s="346">
        <f t="shared" si="19"/>
        <v>2394.9063363668247</v>
      </c>
      <c r="G91" s="346">
        <f t="shared" si="20"/>
        <v>110132.11168480279</v>
      </c>
    </row>
    <row r="92" spans="1:7" x14ac:dyDescent="0.3">
      <c r="A92" s="290">
        <v>79</v>
      </c>
      <c r="B92" s="291">
        <f t="shared" si="16"/>
        <v>48061</v>
      </c>
      <c r="C92" s="346">
        <f t="shared" si="11"/>
        <v>110132.11168480279</v>
      </c>
      <c r="D92" s="347">
        <f t="shared" si="17"/>
        <v>2863.7689114550312</v>
      </c>
      <c r="E92" s="346">
        <f t="shared" si="18"/>
        <v>458.88379868667829</v>
      </c>
      <c r="F92" s="346">
        <f t="shared" si="19"/>
        <v>2404.8851127683529</v>
      </c>
      <c r="G92" s="346">
        <f t="shared" si="20"/>
        <v>107727.22657203443</v>
      </c>
    </row>
    <row r="93" spans="1:7" x14ac:dyDescent="0.3">
      <c r="A93" s="290">
        <v>80</v>
      </c>
      <c r="B93" s="291">
        <f t="shared" si="16"/>
        <v>48092</v>
      </c>
      <c r="C93" s="346">
        <f t="shared" si="11"/>
        <v>107727.22657203443</v>
      </c>
      <c r="D93" s="347">
        <f t="shared" si="17"/>
        <v>2863.7689114550312</v>
      </c>
      <c r="E93" s="346">
        <f t="shared" si="18"/>
        <v>448.86344405014347</v>
      </c>
      <c r="F93" s="346">
        <f t="shared" si="19"/>
        <v>2414.9054674048875</v>
      </c>
      <c r="G93" s="346">
        <f t="shared" si="20"/>
        <v>105312.32110462955</v>
      </c>
    </row>
    <row r="94" spans="1:7" x14ac:dyDescent="0.3">
      <c r="A94" s="290">
        <v>81</v>
      </c>
      <c r="B94" s="291">
        <f t="shared" si="16"/>
        <v>48122</v>
      </c>
      <c r="C94" s="346">
        <f t="shared" si="11"/>
        <v>105312.32110462955</v>
      </c>
      <c r="D94" s="347">
        <f t="shared" si="17"/>
        <v>2863.7689114550312</v>
      </c>
      <c r="E94" s="346">
        <f t="shared" si="18"/>
        <v>438.80133793595644</v>
      </c>
      <c r="F94" s="346">
        <f t="shared" si="19"/>
        <v>2424.9675735190749</v>
      </c>
      <c r="G94" s="346">
        <f t="shared" si="20"/>
        <v>102887.35353111048</v>
      </c>
    </row>
    <row r="95" spans="1:7" x14ac:dyDescent="0.3">
      <c r="A95" s="290">
        <v>82</v>
      </c>
      <c r="B95" s="291">
        <f t="shared" si="16"/>
        <v>48153</v>
      </c>
      <c r="C95" s="346">
        <f t="shared" si="11"/>
        <v>102887.35353111048</v>
      </c>
      <c r="D95" s="347">
        <f t="shared" si="17"/>
        <v>2863.7689114550312</v>
      </c>
      <c r="E95" s="346">
        <f t="shared" si="18"/>
        <v>428.69730637962698</v>
      </c>
      <c r="F95" s="346">
        <f t="shared" si="19"/>
        <v>2435.0716050754045</v>
      </c>
      <c r="G95" s="346">
        <f t="shared" si="20"/>
        <v>100452.28192603508</v>
      </c>
    </row>
    <row r="96" spans="1:7" x14ac:dyDescent="0.3">
      <c r="A96" s="290">
        <v>83</v>
      </c>
      <c r="B96" s="291">
        <f t="shared" si="16"/>
        <v>48183</v>
      </c>
      <c r="C96" s="346">
        <f t="shared" si="11"/>
        <v>100452.28192603508</v>
      </c>
      <c r="D96" s="347">
        <f t="shared" si="17"/>
        <v>2863.7689114550312</v>
      </c>
      <c r="E96" s="346">
        <f t="shared" si="18"/>
        <v>418.55117469181283</v>
      </c>
      <c r="F96" s="346">
        <f t="shared" si="19"/>
        <v>2445.2177367632185</v>
      </c>
      <c r="G96" s="346">
        <f t="shared" si="20"/>
        <v>98007.064189271856</v>
      </c>
    </row>
    <row r="97" spans="1:7" x14ac:dyDescent="0.3">
      <c r="A97" s="290">
        <v>84</v>
      </c>
      <c r="B97" s="291">
        <f t="shared" si="16"/>
        <v>48214</v>
      </c>
      <c r="C97" s="346">
        <f t="shared" si="11"/>
        <v>98007.064189271856</v>
      </c>
      <c r="D97" s="347">
        <f t="shared" si="17"/>
        <v>2863.7689114550312</v>
      </c>
      <c r="E97" s="346">
        <f t="shared" si="18"/>
        <v>408.36276745529938</v>
      </c>
      <c r="F97" s="346">
        <f t="shared" si="19"/>
        <v>2455.4061439997317</v>
      </c>
      <c r="G97" s="346">
        <f t="shared" si="20"/>
        <v>95551.658045272125</v>
      </c>
    </row>
    <row r="98" spans="1:7" x14ac:dyDescent="0.3">
      <c r="A98" s="290">
        <v>85</v>
      </c>
      <c r="B98" s="291">
        <f t="shared" si="16"/>
        <v>48245</v>
      </c>
      <c r="C98" s="346">
        <f t="shared" si="11"/>
        <v>95551.658045272125</v>
      </c>
      <c r="D98" s="347">
        <f t="shared" si="17"/>
        <v>2863.7689114550312</v>
      </c>
      <c r="E98" s="346">
        <f t="shared" si="18"/>
        <v>398.1319085219672</v>
      </c>
      <c r="F98" s="346">
        <f t="shared" si="19"/>
        <v>2465.6370029330642</v>
      </c>
      <c r="G98" s="346">
        <f t="shared" si="20"/>
        <v>93086.021042339067</v>
      </c>
    </row>
    <row r="99" spans="1:7" x14ac:dyDescent="0.3">
      <c r="A99" s="290">
        <v>86</v>
      </c>
      <c r="B99" s="291">
        <f t="shared" si="16"/>
        <v>48274</v>
      </c>
      <c r="C99" s="346">
        <f t="shared" si="11"/>
        <v>93086.021042339067</v>
      </c>
      <c r="D99" s="347">
        <f t="shared" si="17"/>
        <v>2863.7689114550312</v>
      </c>
      <c r="E99" s="346">
        <f t="shared" si="18"/>
        <v>387.85842100974611</v>
      </c>
      <c r="F99" s="346">
        <f t="shared" si="19"/>
        <v>2475.9104904452852</v>
      </c>
      <c r="G99" s="346">
        <f t="shared" si="20"/>
        <v>90610.110551893784</v>
      </c>
    </row>
    <row r="100" spans="1:7" x14ac:dyDescent="0.3">
      <c r="A100" s="290">
        <v>87</v>
      </c>
      <c r="B100" s="291">
        <f t="shared" si="16"/>
        <v>48305</v>
      </c>
      <c r="C100" s="346">
        <f t="shared" si="11"/>
        <v>90610.110551893784</v>
      </c>
      <c r="D100" s="347">
        <f t="shared" si="17"/>
        <v>2863.7689114550312</v>
      </c>
      <c r="E100" s="346">
        <f t="shared" si="18"/>
        <v>377.54212729955742</v>
      </c>
      <c r="F100" s="346">
        <f t="shared" si="19"/>
        <v>2486.226784155474</v>
      </c>
      <c r="G100" s="346">
        <f t="shared" si="20"/>
        <v>88123.883767738313</v>
      </c>
    </row>
    <row r="101" spans="1:7" x14ac:dyDescent="0.3">
      <c r="A101" s="290">
        <v>88</v>
      </c>
      <c r="B101" s="291">
        <f t="shared" si="16"/>
        <v>48335</v>
      </c>
      <c r="C101" s="346">
        <f t="shared" si="11"/>
        <v>88123.883767738313</v>
      </c>
      <c r="D101" s="347">
        <f t="shared" si="17"/>
        <v>2863.7689114550312</v>
      </c>
      <c r="E101" s="346">
        <f t="shared" si="18"/>
        <v>367.18284903224298</v>
      </c>
      <c r="F101" s="346">
        <f t="shared" si="19"/>
        <v>2496.586062422788</v>
      </c>
      <c r="G101" s="346">
        <f t="shared" si="20"/>
        <v>85627.297705315519</v>
      </c>
    </row>
    <row r="102" spans="1:7" x14ac:dyDescent="0.3">
      <c r="A102" s="290">
        <v>89</v>
      </c>
      <c r="B102" s="291">
        <f t="shared" si="16"/>
        <v>48366</v>
      </c>
      <c r="C102" s="346">
        <f t="shared" si="11"/>
        <v>85627.297705315519</v>
      </c>
      <c r="D102" s="347">
        <f t="shared" si="17"/>
        <v>2863.7689114550312</v>
      </c>
      <c r="E102" s="346">
        <f t="shared" si="18"/>
        <v>356.78040710548134</v>
      </c>
      <c r="F102" s="346">
        <f t="shared" si="19"/>
        <v>2506.9885043495497</v>
      </c>
      <c r="G102" s="346">
        <f t="shared" si="20"/>
        <v>83120.309200965974</v>
      </c>
    </row>
    <row r="103" spans="1:7" x14ac:dyDescent="0.3">
      <c r="A103" s="290">
        <v>90</v>
      </c>
      <c r="B103" s="291">
        <f t="shared" si="16"/>
        <v>48396</v>
      </c>
      <c r="C103" s="346">
        <f t="shared" si="11"/>
        <v>83120.309200965974</v>
      </c>
      <c r="D103" s="347">
        <f t="shared" si="17"/>
        <v>2863.7689114550312</v>
      </c>
      <c r="E103" s="346">
        <f t="shared" si="18"/>
        <v>346.33462167069155</v>
      </c>
      <c r="F103" s="346">
        <f t="shared" si="19"/>
        <v>2517.4342897843399</v>
      </c>
      <c r="G103" s="346">
        <f t="shared" si="20"/>
        <v>80602.874911181629</v>
      </c>
    </row>
    <row r="104" spans="1:7" x14ac:dyDescent="0.3">
      <c r="A104" s="290">
        <v>91</v>
      </c>
      <c r="B104" s="291">
        <f t="shared" si="16"/>
        <v>48427</v>
      </c>
      <c r="C104" s="346">
        <f t="shared" si="11"/>
        <v>80602.874911181629</v>
      </c>
      <c r="D104" s="347">
        <f t="shared" si="17"/>
        <v>2863.7689114550312</v>
      </c>
      <c r="E104" s="346">
        <f t="shared" si="18"/>
        <v>335.84531212992346</v>
      </c>
      <c r="F104" s="346">
        <f t="shared" si="19"/>
        <v>2527.9235993251077</v>
      </c>
      <c r="G104" s="346">
        <f t="shared" si="20"/>
        <v>78074.951311856523</v>
      </c>
    </row>
    <row r="105" spans="1:7" x14ac:dyDescent="0.3">
      <c r="A105" s="290">
        <v>92</v>
      </c>
      <c r="B105" s="291">
        <f t="shared" si="16"/>
        <v>48458</v>
      </c>
      <c r="C105" s="346">
        <f t="shared" si="11"/>
        <v>78074.951311856523</v>
      </c>
      <c r="D105" s="347">
        <f t="shared" si="17"/>
        <v>2863.7689114550312</v>
      </c>
      <c r="E105" s="346">
        <f t="shared" si="18"/>
        <v>325.31229713273552</v>
      </c>
      <c r="F105" s="346">
        <f t="shared" si="19"/>
        <v>2538.4566143222955</v>
      </c>
      <c r="G105" s="346">
        <f t="shared" si="20"/>
        <v>75536.494697534232</v>
      </c>
    </row>
    <row r="106" spans="1:7" x14ac:dyDescent="0.3">
      <c r="A106" s="290">
        <v>93</v>
      </c>
      <c r="B106" s="291">
        <f t="shared" si="16"/>
        <v>48488</v>
      </c>
      <c r="C106" s="346">
        <f t="shared" si="11"/>
        <v>75536.494697534232</v>
      </c>
      <c r="D106" s="347">
        <f t="shared" si="17"/>
        <v>2863.7689114550312</v>
      </c>
      <c r="E106" s="346">
        <f t="shared" si="18"/>
        <v>314.7353945730593</v>
      </c>
      <c r="F106" s="346">
        <f t="shared" si="19"/>
        <v>2549.033516881972</v>
      </c>
      <c r="G106" s="346">
        <f t="shared" si="20"/>
        <v>72987.461180652259</v>
      </c>
    </row>
    <row r="107" spans="1:7" x14ac:dyDescent="0.3">
      <c r="A107" s="290">
        <v>94</v>
      </c>
      <c r="B107" s="291">
        <f t="shared" si="16"/>
        <v>48519</v>
      </c>
      <c r="C107" s="346">
        <f t="shared" si="11"/>
        <v>72987.461180652259</v>
      </c>
      <c r="D107" s="347">
        <f t="shared" si="17"/>
        <v>2863.7689114550312</v>
      </c>
      <c r="E107" s="346">
        <f t="shared" si="18"/>
        <v>304.11442158605109</v>
      </c>
      <c r="F107" s="346">
        <f t="shared" si="19"/>
        <v>2559.6544898689799</v>
      </c>
      <c r="G107" s="346">
        <f t="shared" si="20"/>
        <v>70427.806690783284</v>
      </c>
    </row>
    <row r="108" spans="1:7" x14ac:dyDescent="0.3">
      <c r="A108" s="290">
        <v>95</v>
      </c>
      <c r="B108" s="291">
        <f t="shared" si="16"/>
        <v>48549</v>
      </c>
      <c r="C108" s="346">
        <f t="shared" si="11"/>
        <v>70427.806690783284</v>
      </c>
      <c r="D108" s="347">
        <f t="shared" si="17"/>
        <v>2863.7689114550312</v>
      </c>
      <c r="E108" s="346">
        <f t="shared" si="18"/>
        <v>293.44919454493032</v>
      </c>
      <c r="F108" s="346">
        <f t="shared" si="19"/>
        <v>2570.3197169101009</v>
      </c>
      <c r="G108" s="346">
        <f t="shared" si="20"/>
        <v>67857.48697387318</v>
      </c>
    </row>
    <row r="109" spans="1:7" x14ac:dyDescent="0.3">
      <c r="A109" s="290">
        <v>96</v>
      </c>
      <c r="B109" s="291">
        <f t="shared" si="16"/>
        <v>48580</v>
      </c>
      <c r="C109" s="346">
        <f t="shared" si="11"/>
        <v>67857.48697387318</v>
      </c>
      <c r="D109" s="347">
        <f t="shared" si="17"/>
        <v>2863.7689114550312</v>
      </c>
      <c r="E109" s="346">
        <f t="shared" si="18"/>
        <v>282.73952905780493</v>
      </c>
      <c r="F109" s="346">
        <f t="shared" si="19"/>
        <v>2581.0293823972261</v>
      </c>
      <c r="G109" s="346">
        <f t="shared" si="20"/>
        <v>65276.457591475955</v>
      </c>
    </row>
    <row r="110" spans="1:7" x14ac:dyDescent="0.3">
      <c r="A110" s="290">
        <v>97</v>
      </c>
      <c r="B110" s="291">
        <f t="shared" si="16"/>
        <v>48611</v>
      </c>
      <c r="C110" s="346">
        <f t="shared" si="11"/>
        <v>65276.457591475955</v>
      </c>
      <c r="D110" s="347">
        <f t="shared" si="17"/>
        <v>2863.7689114550312</v>
      </c>
      <c r="E110" s="346">
        <f t="shared" si="18"/>
        <v>271.98523996448313</v>
      </c>
      <c r="F110" s="346">
        <f t="shared" si="19"/>
        <v>2591.7836714905479</v>
      </c>
      <c r="G110" s="346">
        <f t="shared" si="20"/>
        <v>62684.673919985406</v>
      </c>
    </row>
    <row r="111" spans="1:7" x14ac:dyDescent="0.3">
      <c r="A111" s="290">
        <v>98</v>
      </c>
      <c r="B111" s="291">
        <f t="shared" si="16"/>
        <v>48639</v>
      </c>
      <c r="C111" s="346">
        <f t="shared" ref="C111:C133" si="21">IF($A110="","",$G110)</f>
        <v>62684.673919985406</v>
      </c>
      <c r="D111" s="347">
        <f t="shared" si="17"/>
        <v>2863.7689114550312</v>
      </c>
      <c r="E111" s="346">
        <f t="shared" si="18"/>
        <v>261.18614133327253</v>
      </c>
      <c r="F111" s="346">
        <f t="shared" si="19"/>
        <v>2602.5827701217586</v>
      </c>
      <c r="G111" s="346">
        <f t="shared" si="20"/>
        <v>60082.091149863649</v>
      </c>
    </row>
    <row r="112" spans="1:7" x14ac:dyDescent="0.3">
      <c r="A112" s="290">
        <v>99</v>
      </c>
      <c r="B112" s="291">
        <f t="shared" si="16"/>
        <v>48670</v>
      </c>
      <c r="C112" s="346">
        <f t="shared" si="21"/>
        <v>60082.091149863649</v>
      </c>
      <c r="D112" s="347">
        <f t="shared" si="17"/>
        <v>2863.7689114550312</v>
      </c>
      <c r="E112" s="346">
        <f t="shared" si="18"/>
        <v>250.34204645776521</v>
      </c>
      <c r="F112" s="346">
        <f t="shared" si="19"/>
        <v>2613.426864997266</v>
      </c>
      <c r="G112" s="346">
        <f t="shared" si="20"/>
        <v>57468.664284866383</v>
      </c>
    </row>
    <row r="113" spans="1:7" x14ac:dyDescent="0.3">
      <c r="A113" s="290">
        <v>100</v>
      </c>
      <c r="B113" s="291">
        <f t="shared" si="16"/>
        <v>48700</v>
      </c>
      <c r="C113" s="346">
        <f t="shared" si="21"/>
        <v>57468.664284866383</v>
      </c>
      <c r="D113" s="347">
        <f t="shared" si="17"/>
        <v>2863.7689114550312</v>
      </c>
      <c r="E113" s="346">
        <f t="shared" si="18"/>
        <v>239.45276785360991</v>
      </c>
      <c r="F113" s="346">
        <f t="shared" si="19"/>
        <v>2624.3161436014211</v>
      </c>
      <c r="G113" s="346">
        <f t="shared" si="20"/>
        <v>54844.348141264963</v>
      </c>
    </row>
    <row r="114" spans="1:7" x14ac:dyDescent="0.3">
      <c r="A114" s="290">
        <v>101</v>
      </c>
      <c r="B114" s="291">
        <f t="shared" si="16"/>
        <v>48731</v>
      </c>
      <c r="C114" s="346">
        <f t="shared" si="21"/>
        <v>54844.348141264963</v>
      </c>
      <c r="D114" s="347">
        <f t="shared" si="17"/>
        <v>2863.7689114550312</v>
      </c>
      <c r="E114" s="346">
        <f t="shared" si="18"/>
        <v>228.51811725527068</v>
      </c>
      <c r="F114" s="346">
        <f t="shared" si="19"/>
        <v>2635.2507941997605</v>
      </c>
      <c r="G114" s="346">
        <f t="shared" si="20"/>
        <v>52209.097347065202</v>
      </c>
    </row>
    <row r="115" spans="1:7" x14ac:dyDescent="0.3">
      <c r="A115" s="290">
        <v>102</v>
      </c>
      <c r="B115" s="291">
        <f t="shared" si="16"/>
        <v>48761</v>
      </c>
      <c r="C115" s="346">
        <f t="shared" si="21"/>
        <v>52209.097347065202</v>
      </c>
      <c r="D115" s="347">
        <f t="shared" si="17"/>
        <v>2863.7689114550312</v>
      </c>
      <c r="E115" s="346">
        <f t="shared" si="18"/>
        <v>217.53790561277168</v>
      </c>
      <c r="F115" s="346">
        <f t="shared" si="19"/>
        <v>2646.2310058422595</v>
      </c>
      <c r="G115" s="346">
        <f t="shared" si="20"/>
        <v>49562.866341222943</v>
      </c>
    </row>
    <row r="116" spans="1:7" x14ac:dyDescent="0.3">
      <c r="A116" s="290">
        <v>103</v>
      </c>
      <c r="B116" s="291">
        <f t="shared" si="16"/>
        <v>48792</v>
      </c>
      <c r="C116" s="346">
        <f t="shared" si="21"/>
        <v>49562.866341222943</v>
      </c>
      <c r="D116" s="347">
        <f t="shared" si="17"/>
        <v>2863.7689114550312</v>
      </c>
      <c r="E116" s="346">
        <f t="shared" si="18"/>
        <v>206.51194308842892</v>
      </c>
      <c r="F116" s="346">
        <f t="shared" si="19"/>
        <v>2657.2569683666025</v>
      </c>
      <c r="G116" s="346">
        <f t="shared" si="20"/>
        <v>46905.609372856343</v>
      </c>
    </row>
    <row r="117" spans="1:7" x14ac:dyDescent="0.3">
      <c r="A117" s="290">
        <v>104</v>
      </c>
      <c r="B117" s="291">
        <f t="shared" si="16"/>
        <v>48823</v>
      </c>
      <c r="C117" s="346">
        <f t="shared" si="21"/>
        <v>46905.609372856343</v>
      </c>
      <c r="D117" s="347">
        <f t="shared" si="17"/>
        <v>2863.7689114550312</v>
      </c>
      <c r="E117" s="346">
        <f t="shared" si="18"/>
        <v>195.44003905356809</v>
      </c>
      <c r="F117" s="346">
        <f t="shared" si="19"/>
        <v>2668.3288724014633</v>
      </c>
      <c r="G117" s="346">
        <f t="shared" si="20"/>
        <v>44237.280500454879</v>
      </c>
    </row>
    <row r="118" spans="1:7" x14ac:dyDescent="0.3">
      <c r="A118" s="290">
        <v>105</v>
      </c>
      <c r="B118" s="291">
        <f t="shared" si="16"/>
        <v>48853</v>
      </c>
      <c r="C118" s="346">
        <f t="shared" si="21"/>
        <v>44237.280500454879</v>
      </c>
      <c r="D118" s="347">
        <f t="shared" si="17"/>
        <v>2863.7689114550312</v>
      </c>
      <c r="E118" s="346">
        <f t="shared" si="18"/>
        <v>184.32200208522866</v>
      </c>
      <c r="F118" s="346">
        <f t="shared" si="19"/>
        <v>2679.4469093698026</v>
      </c>
      <c r="G118" s="346">
        <f t="shared" si="20"/>
        <v>41557.833591085073</v>
      </c>
    </row>
    <row r="119" spans="1:7" x14ac:dyDescent="0.3">
      <c r="A119" s="290">
        <v>106</v>
      </c>
      <c r="B119" s="291">
        <f t="shared" si="16"/>
        <v>48884</v>
      </c>
      <c r="C119" s="346">
        <f t="shared" si="21"/>
        <v>41557.833591085073</v>
      </c>
      <c r="D119" s="347">
        <f t="shared" si="17"/>
        <v>2863.7689114550312</v>
      </c>
      <c r="E119" s="346">
        <f t="shared" si="18"/>
        <v>173.15763996285446</v>
      </c>
      <c r="F119" s="346">
        <f t="shared" si="19"/>
        <v>2690.6112714921769</v>
      </c>
      <c r="G119" s="346">
        <f t="shared" si="20"/>
        <v>38867.222319592896</v>
      </c>
    </row>
    <row r="120" spans="1:7" x14ac:dyDescent="0.3">
      <c r="A120" s="290">
        <v>107</v>
      </c>
      <c r="B120" s="291">
        <f t="shared" si="16"/>
        <v>48914</v>
      </c>
      <c r="C120" s="346">
        <f t="shared" si="21"/>
        <v>38867.222319592896</v>
      </c>
      <c r="D120" s="347">
        <f t="shared" si="17"/>
        <v>2863.7689114550312</v>
      </c>
      <c r="E120" s="346">
        <f t="shared" si="18"/>
        <v>161.94675966497039</v>
      </c>
      <c r="F120" s="346">
        <f t="shared" si="19"/>
        <v>2701.8221517900611</v>
      </c>
      <c r="G120" s="346">
        <f t="shared" si="20"/>
        <v>36165.400167802836</v>
      </c>
    </row>
    <row r="121" spans="1:7" x14ac:dyDescent="0.3">
      <c r="A121" s="290">
        <v>108</v>
      </c>
      <c r="B121" s="291">
        <f t="shared" si="16"/>
        <v>48945</v>
      </c>
      <c r="C121" s="346">
        <f t="shared" si="21"/>
        <v>36165.400167802836</v>
      </c>
      <c r="D121" s="347">
        <f t="shared" si="17"/>
        <v>2863.7689114550312</v>
      </c>
      <c r="E121" s="346">
        <f t="shared" si="18"/>
        <v>150.68916736584515</v>
      </c>
      <c r="F121" s="346">
        <f t="shared" si="19"/>
        <v>2713.0797440891861</v>
      </c>
      <c r="G121" s="346">
        <f t="shared" si="20"/>
        <v>33452.320423713652</v>
      </c>
    </row>
    <row r="122" spans="1:7" x14ac:dyDescent="0.3">
      <c r="A122" s="290">
        <v>109</v>
      </c>
      <c r="B122" s="291">
        <f t="shared" si="16"/>
        <v>48976</v>
      </c>
      <c r="C122" s="346">
        <f t="shared" si="21"/>
        <v>33452.320423713652</v>
      </c>
      <c r="D122" s="347">
        <f t="shared" si="17"/>
        <v>2863.7689114550312</v>
      </c>
      <c r="E122" s="346">
        <f t="shared" si="18"/>
        <v>139.38466843214022</v>
      </c>
      <c r="F122" s="346">
        <f t="shared" si="19"/>
        <v>2724.384243022891</v>
      </c>
      <c r="G122" s="346">
        <f t="shared" si="20"/>
        <v>30727.936180690762</v>
      </c>
    </row>
    <row r="123" spans="1:7" x14ac:dyDescent="0.3">
      <c r="A123" s="290">
        <v>110</v>
      </c>
      <c r="B123" s="291">
        <f t="shared" si="16"/>
        <v>49004</v>
      </c>
      <c r="C123" s="346">
        <f t="shared" si="21"/>
        <v>30727.936180690762</v>
      </c>
      <c r="D123" s="347">
        <f t="shared" si="17"/>
        <v>2863.7689114550312</v>
      </c>
      <c r="E123" s="346">
        <f t="shared" si="18"/>
        <v>128.03306741954484</v>
      </c>
      <c r="F123" s="346">
        <f t="shared" si="19"/>
        <v>2735.7358440354865</v>
      </c>
      <c r="G123" s="346">
        <f t="shared" si="20"/>
        <v>27992.200336655274</v>
      </c>
    </row>
    <row r="124" spans="1:7" x14ac:dyDescent="0.3">
      <c r="A124" s="290">
        <v>111</v>
      </c>
      <c r="B124" s="291">
        <f t="shared" si="16"/>
        <v>49035</v>
      </c>
      <c r="C124" s="346">
        <f t="shared" si="21"/>
        <v>27992.200336655274</v>
      </c>
      <c r="D124" s="347">
        <f t="shared" si="17"/>
        <v>2863.7689114550312</v>
      </c>
      <c r="E124" s="346">
        <f t="shared" si="18"/>
        <v>116.63416806939698</v>
      </c>
      <c r="F124" s="346">
        <f t="shared" si="19"/>
        <v>2747.1347433856345</v>
      </c>
      <c r="G124" s="346">
        <f t="shared" si="20"/>
        <v>25245.065593269639</v>
      </c>
    </row>
    <row r="125" spans="1:7" x14ac:dyDescent="0.3">
      <c r="A125" s="290">
        <v>112</v>
      </c>
      <c r="B125" s="291">
        <f t="shared" si="16"/>
        <v>49065</v>
      </c>
      <c r="C125" s="346">
        <f t="shared" si="21"/>
        <v>25245.065593269639</v>
      </c>
      <c r="D125" s="347">
        <f t="shared" si="17"/>
        <v>2863.7689114550312</v>
      </c>
      <c r="E125" s="346">
        <f t="shared" si="18"/>
        <v>105.18777330529016</v>
      </c>
      <c r="F125" s="346">
        <f t="shared" si="19"/>
        <v>2758.581138149741</v>
      </c>
      <c r="G125" s="346">
        <f t="shared" si="20"/>
        <v>22486.484455119898</v>
      </c>
    </row>
    <row r="126" spans="1:7" x14ac:dyDescent="0.3">
      <c r="A126" s="290">
        <v>113</v>
      </c>
      <c r="B126" s="291">
        <f t="shared" si="16"/>
        <v>49096</v>
      </c>
      <c r="C126" s="346">
        <f t="shared" si="21"/>
        <v>22486.484455119898</v>
      </c>
      <c r="D126" s="347">
        <f t="shared" si="17"/>
        <v>2863.7689114550312</v>
      </c>
      <c r="E126" s="346">
        <f t="shared" si="18"/>
        <v>93.693685229666244</v>
      </c>
      <c r="F126" s="346">
        <f t="shared" si="19"/>
        <v>2770.075226225365</v>
      </c>
      <c r="G126" s="346">
        <f t="shared" si="20"/>
        <v>19716.409228894532</v>
      </c>
    </row>
    <row r="127" spans="1:7" x14ac:dyDescent="0.3">
      <c r="A127" s="290">
        <v>114</v>
      </c>
      <c r="B127" s="291">
        <f t="shared" si="16"/>
        <v>49126</v>
      </c>
      <c r="C127" s="346">
        <f t="shared" si="21"/>
        <v>19716.409228894532</v>
      </c>
      <c r="D127" s="347">
        <f t="shared" si="17"/>
        <v>2863.7689114550312</v>
      </c>
      <c r="E127" s="346">
        <f t="shared" si="18"/>
        <v>82.151705120393885</v>
      </c>
      <c r="F127" s="346">
        <f t="shared" si="19"/>
        <v>2781.6172063346376</v>
      </c>
      <c r="G127" s="346">
        <f t="shared" si="20"/>
        <v>16934.792022559894</v>
      </c>
    </row>
    <row r="128" spans="1:7" x14ac:dyDescent="0.3">
      <c r="A128" s="290">
        <v>115</v>
      </c>
      <c r="B128" s="291">
        <f t="shared" si="16"/>
        <v>49157</v>
      </c>
      <c r="C128" s="346">
        <f t="shared" si="21"/>
        <v>16934.792022559894</v>
      </c>
      <c r="D128" s="347">
        <f t="shared" si="17"/>
        <v>2863.7689114550312</v>
      </c>
      <c r="E128" s="346">
        <f t="shared" si="18"/>
        <v>70.561633427332893</v>
      </c>
      <c r="F128" s="346">
        <f t="shared" si="19"/>
        <v>2793.2072780276985</v>
      </c>
      <c r="G128" s="346">
        <f t="shared" si="20"/>
        <v>14141.584744532196</v>
      </c>
    </row>
    <row r="129" spans="1:7" x14ac:dyDescent="0.3">
      <c r="A129" s="290">
        <v>116</v>
      </c>
      <c r="B129" s="291">
        <f t="shared" si="16"/>
        <v>49188</v>
      </c>
      <c r="C129" s="346">
        <f t="shared" si="21"/>
        <v>14141.584744532196</v>
      </c>
      <c r="D129" s="347">
        <f t="shared" si="17"/>
        <v>2863.7689114550312</v>
      </c>
      <c r="E129" s="346">
        <f t="shared" si="18"/>
        <v>58.923269768884147</v>
      </c>
      <c r="F129" s="346">
        <f t="shared" si="19"/>
        <v>2804.8456416861472</v>
      </c>
      <c r="G129" s="346">
        <f t="shared" si="20"/>
        <v>11336.739102846048</v>
      </c>
    </row>
    <row r="130" spans="1:7" x14ac:dyDescent="0.3">
      <c r="A130" s="290">
        <v>117</v>
      </c>
      <c r="B130" s="291">
        <f t="shared" si="16"/>
        <v>49218</v>
      </c>
      <c r="C130" s="346">
        <f t="shared" si="21"/>
        <v>11336.739102846048</v>
      </c>
      <c r="D130" s="347">
        <f t="shared" si="17"/>
        <v>2863.7689114550312</v>
      </c>
      <c r="E130" s="346">
        <f t="shared" si="18"/>
        <v>47.236412928525198</v>
      </c>
      <c r="F130" s="346">
        <f t="shared" si="19"/>
        <v>2816.5324985265061</v>
      </c>
      <c r="G130" s="346">
        <f t="shared" si="20"/>
        <v>8520.2066043195409</v>
      </c>
    </row>
    <row r="131" spans="1:7" x14ac:dyDescent="0.3">
      <c r="A131" s="290">
        <v>118</v>
      </c>
      <c r="B131" s="291">
        <f t="shared" si="16"/>
        <v>49249</v>
      </c>
      <c r="C131" s="346">
        <f t="shared" si="21"/>
        <v>8520.2066043195409</v>
      </c>
      <c r="D131" s="347">
        <f t="shared" si="17"/>
        <v>2863.7689114550312</v>
      </c>
      <c r="E131" s="346">
        <f t="shared" si="18"/>
        <v>35.500860851331417</v>
      </c>
      <c r="F131" s="346">
        <f t="shared" si="19"/>
        <v>2828.2680506037</v>
      </c>
      <c r="G131" s="346">
        <f t="shared" si="20"/>
        <v>5691.9385537158414</v>
      </c>
    </row>
    <row r="132" spans="1:7" x14ac:dyDescent="0.3">
      <c r="A132" s="290">
        <v>119</v>
      </c>
      <c r="B132" s="291">
        <f t="shared" si="16"/>
        <v>49279</v>
      </c>
      <c r="C132" s="346">
        <f t="shared" si="21"/>
        <v>5691.9385537158414</v>
      </c>
      <c r="D132" s="347">
        <f t="shared" si="17"/>
        <v>2863.7689114550312</v>
      </c>
      <c r="E132" s="346">
        <f t="shared" si="18"/>
        <v>23.716410640482671</v>
      </c>
      <c r="F132" s="346">
        <f t="shared" si="19"/>
        <v>2840.0525008145487</v>
      </c>
      <c r="G132" s="346">
        <f t="shared" si="20"/>
        <v>2851.8860529012927</v>
      </c>
    </row>
    <row r="133" spans="1:7" x14ac:dyDescent="0.3">
      <c r="A133" s="290">
        <v>120</v>
      </c>
      <c r="B133" s="291">
        <f t="shared" si="16"/>
        <v>49310</v>
      </c>
      <c r="C133" s="346">
        <f t="shared" si="21"/>
        <v>2851.8860529012927</v>
      </c>
      <c r="D133" s="347">
        <f t="shared" si="17"/>
        <v>2863.7689114550312</v>
      </c>
      <c r="E133" s="346">
        <f t="shared" si="18"/>
        <v>11.882858553755387</v>
      </c>
      <c r="F133" s="346">
        <f t="shared" si="19"/>
        <v>2851.8860529012759</v>
      </c>
      <c r="G133" s="346">
        <f t="shared" si="20"/>
        <v>1.6825651982799172E-11</v>
      </c>
    </row>
    <row r="134" spans="1:7" x14ac:dyDescent="0.3">
      <c r="E134" s="348">
        <f>SUM(E14:E133)</f>
        <v>73652.269374603769</v>
      </c>
      <c r="F134" s="348">
        <f t="shared" ref="F134:G134" si="22">SUM(F14:F133)</f>
        <v>270000.00000000012</v>
      </c>
      <c r="G134" s="284"/>
    </row>
  </sheetData>
  <phoneticPr fontId="40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K35"/>
  <sheetViews>
    <sheetView topLeftCell="A15" workbookViewId="0">
      <selection activeCell="F33" sqref="F33"/>
    </sheetView>
  </sheetViews>
  <sheetFormatPr defaultColWidth="9.21875" defaultRowHeight="13.8" x14ac:dyDescent="0.3"/>
  <cols>
    <col min="1" max="1" width="20.21875" style="6" customWidth="1"/>
    <col min="2" max="3" width="11.44140625" style="6" customWidth="1"/>
    <col min="4" max="4" width="3.5546875" style="6" customWidth="1"/>
    <col min="5" max="5" width="14.21875" style="6" bestFit="1" customWidth="1"/>
    <col min="6" max="6" width="12.5546875" style="6" customWidth="1"/>
    <col min="7" max="7" width="15.5546875" style="6" customWidth="1"/>
    <col min="8" max="8" width="14.21875" style="6" customWidth="1"/>
    <col min="9" max="9" width="14.21875" style="10" customWidth="1"/>
    <col min="10" max="10" width="6.5546875" style="6" bestFit="1" customWidth="1"/>
    <col min="11" max="11" width="14.21875" style="6" customWidth="1"/>
    <col min="12" max="13" width="9.21875" style="6"/>
    <col min="14" max="14" width="11.77734375" style="6" bestFit="1" customWidth="1"/>
    <col min="15" max="16384" width="9.21875" style="6"/>
  </cols>
  <sheetData>
    <row r="1" spans="1:11" ht="15.6" x14ac:dyDescent="0.3">
      <c r="A1" s="104" t="str">
        <f>DETAILS!A1</f>
        <v>VDO</v>
      </c>
    </row>
    <row r="2" spans="1:11" ht="15.6" x14ac:dyDescent="0.3">
      <c r="A2" s="104"/>
    </row>
    <row r="3" spans="1:11" ht="15.6" x14ac:dyDescent="0.3">
      <c r="A3" s="104" t="s">
        <v>292</v>
      </c>
    </row>
    <row r="4" spans="1:11" x14ac:dyDescent="0.3">
      <c r="A4" s="21"/>
    </row>
    <row r="5" spans="1:11" x14ac:dyDescent="0.3">
      <c r="F5" s="22"/>
      <c r="G5" s="1"/>
    </row>
    <row r="6" spans="1:11" x14ac:dyDescent="0.3">
      <c r="F6" s="35"/>
      <c r="G6" s="1"/>
    </row>
    <row r="7" spans="1:11" hidden="1" x14ac:dyDescent="0.3">
      <c r="A7" s="21" t="s">
        <v>270</v>
      </c>
      <c r="F7" s="35"/>
      <c r="G7" s="1"/>
    </row>
    <row r="8" spans="1:11" hidden="1" x14ac:dyDescent="0.3">
      <c r="F8" s="35"/>
      <c r="G8" s="1"/>
    </row>
    <row r="9" spans="1:11" hidden="1" x14ac:dyDescent="0.3">
      <c r="B9" s="109" t="s">
        <v>266</v>
      </c>
      <c r="C9" s="109" t="s">
        <v>267</v>
      </c>
      <c r="D9" s="25"/>
      <c r="E9" s="109" t="s">
        <v>268</v>
      </c>
      <c r="F9" s="109" t="e">
        <f>#REF!</f>
        <v>#REF!</v>
      </c>
      <c r="G9" s="1"/>
    </row>
    <row r="10" spans="1:11" hidden="1" x14ac:dyDescent="0.3">
      <c r="A10" s="6" t="s">
        <v>271</v>
      </c>
      <c r="B10" s="35">
        <v>25</v>
      </c>
      <c r="C10" s="35">
        <v>0</v>
      </c>
      <c r="E10" s="35">
        <f>B10*C10*4</f>
        <v>0</v>
      </c>
      <c r="F10" s="22">
        <f>E10*12</f>
        <v>0</v>
      </c>
      <c r="G10" s="1" t="s">
        <v>269</v>
      </c>
    </row>
    <row r="11" spans="1:11" hidden="1" x14ac:dyDescent="0.3">
      <c r="B11" s="35"/>
      <c r="C11" s="35"/>
      <c r="E11" s="35"/>
    </row>
    <row r="12" spans="1:11" hidden="1" x14ac:dyDescent="0.3">
      <c r="A12" s="1" t="s">
        <v>272</v>
      </c>
      <c r="B12" s="59">
        <v>16</v>
      </c>
      <c r="C12" s="35"/>
      <c r="D12" s="35"/>
      <c r="E12" s="35"/>
    </row>
    <row r="13" spans="1:11" hidden="1" x14ac:dyDescent="0.3">
      <c r="A13" s="1" t="s">
        <v>273</v>
      </c>
      <c r="B13" s="158">
        <v>6</v>
      </c>
      <c r="C13" s="35"/>
      <c r="D13" s="35"/>
      <c r="E13" s="35"/>
    </row>
    <row r="14" spans="1:11" hidden="1" x14ac:dyDescent="0.3">
      <c r="A14" s="1" t="s">
        <v>274</v>
      </c>
      <c r="B14" s="59">
        <f>B12*B13</f>
        <v>96</v>
      </c>
      <c r="C14" s="35"/>
      <c r="D14" s="35"/>
      <c r="E14" s="35"/>
    </row>
    <row r="15" spans="1:11" x14ac:dyDescent="0.3">
      <c r="A15" s="21"/>
    </row>
    <row r="16" spans="1:11" x14ac:dyDescent="0.3">
      <c r="I16" s="72"/>
      <c r="K16" s="72"/>
    </row>
    <row r="17" spans="1:9" s="73" customFormat="1" x14ac:dyDescent="0.3">
      <c r="A17" s="71" t="s">
        <v>98</v>
      </c>
      <c r="I17" s="74"/>
    </row>
    <row r="18" spans="1:9" ht="15.6" customHeight="1" x14ac:dyDescent="0.3">
      <c r="C18" s="79" t="s">
        <v>86</v>
      </c>
      <c r="D18" s="98"/>
      <c r="E18" s="94" t="s">
        <v>81</v>
      </c>
      <c r="F18" s="85" t="s">
        <v>87</v>
      </c>
      <c r="H18" s="73"/>
      <c r="I18" s="74"/>
    </row>
    <row r="19" spans="1:9" ht="15.6" customHeight="1" x14ac:dyDescent="0.3">
      <c r="A19" s="6" t="s">
        <v>82</v>
      </c>
      <c r="C19" s="12">
        <f>RESULTAAT!B20+RESULTAAT!B21</f>
        <v>558000</v>
      </c>
      <c r="D19" s="7"/>
      <c r="E19" s="9"/>
      <c r="F19" s="7">
        <f>C19</f>
        <v>558000</v>
      </c>
      <c r="H19" s="73"/>
      <c r="I19" s="74"/>
    </row>
    <row r="20" spans="1:9" x14ac:dyDescent="0.3">
      <c r="A20" s="6" t="s">
        <v>83</v>
      </c>
      <c r="C20" s="12">
        <f>RESULTAAT!B24</f>
        <v>178523.2</v>
      </c>
      <c r="D20" s="7"/>
      <c r="E20" s="9" t="e">
        <f>DETAILS!#REF!</f>
        <v>#REF!</v>
      </c>
      <c r="F20" s="7" t="e">
        <f>DETAILS!#REF!</f>
        <v>#REF!</v>
      </c>
      <c r="H20" s="73"/>
      <c r="I20" s="74"/>
    </row>
    <row r="21" spans="1:9" x14ac:dyDescent="0.3">
      <c r="A21" s="6" t="s">
        <v>36</v>
      </c>
      <c r="C21" s="12">
        <f>RESULTAAT!B26</f>
        <v>86195.631999999998</v>
      </c>
      <c r="D21" s="7"/>
      <c r="E21" s="9"/>
      <c r="F21" s="7">
        <f>C21</f>
        <v>86195.631999999998</v>
      </c>
    </row>
    <row r="22" spans="1:9" ht="15.75" customHeight="1" x14ac:dyDescent="0.3">
      <c r="A22" s="6" t="s">
        <v>37</v>
      </c>
      <c r="C22" s="12">
        <f>RESULTAAT!B28</f>
        <v>42000</v>
      </c>
      <c r="D22" s="7"/>
      <c r="E22" s="9">
        <f>C22</f>
        <v>42000</v>
      </c>
      <c r="F22" s="7"/>
    </row>
    <row r="23" spans="1:9" x14ac:dyDescent="0.3">
      <c r="A23" s="6" t="s">
        <v>84</v>
      </c>
      <c r="C23" s="12">
        <f>RESULTAAT!B33</f>
        <v>4700</v>
      </c>
      <c r="D23" s="7"/>
      <c r="E23" s="9">
        <f>C23*80%</f>
        <v>3760</v>
      </c>
      <c r="F23" s="7">
        <f>C23-E23</f>
        <v>940</v>
      </c>
    </row>
    <row r="24" spans="1:9" x14ac:dyDescent="0.3">
      <c r="A24" s="6" t="s">
        <v>85</v>
      </c>
      <c r="C24" s="12">
        <f>RESULTAAT!B45</f>
        <v>12981.469410886984</v>
      </c>
      <c r="D24" s="7"/>
      <c r="E24" s="9">
        <f>C24</f>
        <v>12981.469410886984</v>
      </c>
      <c r="F24" s="7"/>
    </row>
    <row r="25" spans="1:9" x14ac:dyDescent="0.3">
      <c r="A25" s="6" t="s">
        <v>24</v>
      </c>
      <c r="C25" s="82">
        <f>RESULTAAT!C51</f>
        <v>0</v>
      </c>
      <c r="D25" s="17"/>
      <c r="E25" s="83"/>
      <c r="F25" s="17">
        <f>C25</f>
        <v>0</v>
      </c>
    </row>
    <row r="26" spans="1:9" x14ac:dyDescent="0.3">
      <c r="C26" s="261">
        <f>SUM(C19:C25)</f>
        <v>882400.30141088692</v>
      </c>
      <c r="D26" s="260"/>
      <c r="E26" s="169" t="e">
        <f>SUM(E19:E25)</f>
        <v>#REF!</v>
      </c>
      <c r="F26" s="170" t="e">
        <f>SUM(F19:F25)</f>
        <v>#REF!</v>
      </c>
    </row>
    <row r="27" spans="1:9" x14ac:dyDescent="0.3">
      <c r="C27" s="2"/>
      <c r="D27" s="2"/>
      <c r="E27" s="2"/>
      <c r="F27" s="1" t="e">
        <f>E26+F26</f>
        <v>#REF!</v>
      </c>
    </row>
    <row r="28" spans="1:9" x14ac:dyDescent="0.3">
      <c r="C28" s="2"/>
      <c r="D28" s="2"/>
      <c r="E28" s="2"/>
      <c r="F28" s="2"/>
    </row>
    <row r="29" spans="1:9" ht="8.25" customHeight="1" x14ac:dyDescent="0.3">
      <c r="C29" s="2"/>
      <c r="D29" s="2"/>
      <c r="E29" s="2"/>
      <c r="F29" s="2"/>
    </row>
    <row r="30" spans="1:9" x14ac:dyDescent="0.3">
      <c r="A30" s="75" t="s">
        <v>90</v>
      </c>
      <c r="B30" s="14"/>
      <c r="C30" s="171">
        <f>RESULTAAT!B8</f>
        <v>930000</v>
      </c>
      <c r="D30" s="2"/>
      <c r="E30" s="2"/>
      <c r="F30" s="2"/>
    </row>
    <row r="31" spans="1:9" x14ac:dyDescent="0.3">
      <c r="D31" s="2"/>
      <c r="E31" s="2"/>
      <c r="F31" s="2"/>
    </row>
    <row r="32" spans="1:9" x14ac:dyDescent="0.3">
      <c r="A32" s="6" t="s">
        <v>88</v>
      </c>
      <c r="C32" s="6" t="e">
        <f>(C30-F26)</f>
        <v>#REF!</v>
      </c>
      <c r="D32" s="2"/>
      <c r="E32" s="2"/>
      <c r="F32" s="2"/>
    </row>
    <row r="33" spans="1:6" x14ac:dyDescent="0.3">
      <c r="A33" s="6" t="s">
        <v>89</v>
      </c>
      <c r="C33" s="172" t="e">
        <f>(C32/C30)</f>
        <v>#REF!</v>
      </c>
      <c r="D33" s="2"/>
      <c r="E33" s="2"/>
      <c r="F33" s="2"/>
    </row>
    <row r="34" spans="1:6" x14ac:dyDescent="0.3">
      <c r="A34" s="145" t="s">
        <v>91</v>
      </c>
      <c r="B34" s="144"/>
      <c r="C34" s="173" t="e">
        <f>E26/C33</f>
        <v>#REF!</v>
      </c>
      <c r="D34" s="2"/>
      <c r="E34" s="2"/>
      <c r="F34" s="2"/>
    </row>
    <row r="35" spans="1:6" x14ac:dyDescent="0.3">
      <c r="C35" s="2"/>
      <c r="D35" s="2"/>
      <c r="E35" s="2"/>
      <c r="F35" s="2"/>
    </row>
  </sheetData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14</vt:i4>
      </vt:variant>
    </vt:vector>
  </HeadingPairs>
  <TitlesOfParts>
    <vt:vector size="14" baseType="lpstr">
      <vt:lpstr>ACTIVA</vt:lpstr>
      <vt:lpstr>ACTIVA analyse</vt:lpstr>
      <vt:lpstr>PASSIVA</vt:lpstr>
      <vt:lpstr>PASSIVA analyse</vt:lpstr>
      <vt:lpstr>RESULTAAT</vt:lpstr>
      <vt:lpstr>RESULTAAT analyse</vt:lpstr>
      <vt:lpstr>INVEST TABEL</vt:lpstr>
      <vt:lpstr>FIN ANALYSE</vt:lpstr>
      <vt:lpstr>CASH FLOW MAAND</vt:lpstr>
      <vt:lpstr>DETAILS</vt:lpstr>
      <vt:lpstr>OPGAVE</vt:lpstr>
      <vt:lpstr>70-40-44-55</vt:lpstr>
      <vt:lpstr>Aflossingstabel</vt:lpstr>
      <vt:lpstr>OMZET en BREAK EVEN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MediaMonster</dc:creator>
  <cp:lastModifiedBy>FERNANDO ZARZOSA</cp:lastModifiedBy>
  <cp:lastPrinted>2024-05-20T12:17:27Z</cp:lastPrinted>
  <dcterms:created xsi:type="dcterms:W3CDTF">2019-06-11T16:06:42Z</dcterms:created>
  <dcterms:modified xsi:type="dcterms:W3CDTF">2026-02-23T18:25:44Z</dcterms:modified>
</cp:coreProperties>
</file>